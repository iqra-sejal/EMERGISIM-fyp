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Verify_Flags" sheetId="2" state="visible" r:id="rId4"/>
    <sheet name="WAO_Grade_Map" sheetId="3" state="visible" r:id="rId5"/>
    <sheet name="Global_Rules" sheetId="4" state="visible" r:id="rId6"/>
    <sheet name="Epinephrine_Doses" sheetId="5" state="visible" r:id="rId7"/>
    <sheet name="States" sheetId="6" state="visible" r:id="rId8"/>
    <sheet name="State_Symptoms" sheetId="7" state="visible" r:id="rId9"/>
    <sheet name="Symptom_Master" sheetId="8" state="visible" r:id="rId10"/>
    <sheet name="State_Communication" sheetId="9" state="visible" r:id="rId11"/>
    <sheet name="Actions" sheetId="10" state="visible" r:id="rId12"/>
    <sheet name="Contraindicated" sheetId="11" state="visible" r:id="rId13"/>
    <sheet name="State_Actions" sheetId="12" state="visible" r:id="rId14"/>
    <sheet name="Transitions" sheetId="13" state="visible" r:id="rId15"/>
    <sheet name="Vitals_Template" sheetId="14" state="visible" r:id="rId16"/>
    <sheet name="Modifiers" sheetId="15" state="visible" r:id="rId17"/>
    <sheet name="Post_Stable_Brain3" sheetId="16" state="visible" r:id="rId18"/>
    <sheet name="Calculators" sheetId="17" state="visible" r:id="rId19"/>
    <sheet name="Action_Aliases" sheetId="18" state="visible" r:id="rId20"/>
    <sheet name="State_Variables" sheetId="19" state="visible" r:id="rId21"/>
    <sheet name="Hints" sheetId="20" state="visible" r:id="rId22"/>
    <sheet name="Observable_Signs" sheetId="21" state="visible" r:id="rId23"/>
    <sheet name="Patient_Profile_Schema" sheetId="22" state="visible" r:id="rId24"/>
    <sheet name="Differential_Dx" sheetId="23" state="visible" r:id="rId25"/>
    <sheet name="Extra_Facts" sheetId="24" state="visible" r:id="rId26"/>
    <sheet name="Autoinjector_Notes" sheetId="25" state="visible" r:id="rId27"/>
    <sheet name="Fluid_Bolus_Comparison" sheetId="26" state="visible" r:id="rId28"/>
    <sheet name="Repeat_Interval_Comparison" sheetId="27" state="visible" r:id="rId29"/>
    <sheet name="Bundle_Sequence" sheetId="28" state="visible" r:id="rId30"/>
    <sheet name="Refractory_Drug_Doses" sheetId="29" state="visible" r:id="rId31"/>
    <sheet name="Discharge_Observation" sheetId="30" state="visible" r:id="rId32"/>
    <sheet name="Needle_Gauge" sheetId="31" state="visible" r:id="rId33"/>
    <sheet name="Worm2018_Modifiers" sheetId="32" state="visible" r:id="rId3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<sst xmlns="http://schemas.openxmlformats.org/spreadsheetml/2006/main" count="4773" uniqueCount="2021">
  <si>
    <t xml:space="preserve">EMERGISIM - Anaphylaxis FSM Dataset (final)</t>
  </si>
  <si>
    <t xml:space="preserve">Source</t>
  </si>
  <si>
    <t xml:space="preserve">Cardona et al., World Allergy Organization Anaphylaxis Guidance 2020, World Allergy Organ J 13:100472. Page numbers refer to the PDF. Every value is tagged with its source; anything the paper does not give is left blank for MIMIC-IV-ED or other literature.</t>
  </si>
  <si>
    <t xml:space="preserve">Grade mapping</t>
  </si>
  <si>
    <t xml:space="preserve">Early Reaction = Table 7 grade 3, Airway Compromise = grade 4, Cardiovascular Collapse = grade 5. Checked against the rendered PDF pages 13-14 (F-07).</t>
  </si>
  <si>
    <t xml:space="preserve">Sheet index</t>
  </si>
  <si>
    <t xml:space="preserve">Verify_Flags</t>
  </si>
  <si>
    <t xml:space="preserve">31 flags: 22 Resolved/Verified, 4 Partially resolved, 2 Still open (design decisions or data), 2 explicitly FSM-designer/other-dataset scope, 1 informational caution only. RCUK 2021 and EAACI 2021 PDFs read; F-26 to F-31 added; State_Actions/Transitions realigned with Bundle_Sequence (F-26); F-25 numeric modifiers resolved via Worm et al. 2018 (see Worm2018_Modifiers sheet); F-09 C-04 exemption note aligned for cardiovascular_collapse; F-18 closed with 4 new symptoms/signs (cyanosis, increased work of breathing, pale/clammy skin, tachycardia). 25 Sep 2026.</t>
  </si>
  <si>
    <t xml:space="preserve">WAO_Grade_Map</t>
  </si>
  <si>
    <t xml:space="preserve">Table 7 grades 1-5 mapped to the 4 FSM states</t>
  </si>
  <si>
    <t xml:space="preserve">Global_Rules</t>
  </si>
  <si>
    <t xml:space="preserve">Diagnostic criteria, hypotension definition, epinephrine rules, second-line drugs, observation, tryptase</t>
  </si>
  <si>
    <t xml:space="preserve">Epinephrine_Doses</t>
  </si>
  <si>
    <t xml:space="preserve">IM adrenaline dose comparison across RCUK 2021 (default), WAO 2020 and EAACI 2021 (auto-injector and healthcare-setting doses)</t>
  </si>
  <si>
    <t xml:space="preserve">States</t>
  </si>
  <si>
    <t xml:space="preserve">The 4 FSM states with WAO grade, basis, entry requirement and transitions</t>
  </si>
  <si>
    <t xml:space="preserve">State_Symptoms</t>
  </si>
  <si>
    <t xml:space="preserve">Allowed / forbidden / superseded symptoms per state by symptom_id, with modality and who can report (one row per state per symptom, 90 rows, ready for LLM prompt building)</t>
  </si>
  <si>
    <t xml:space="preserve">Symptom_Master</t>
  </si>
  <si>
    <t xml:space="preserve">One row per symptom: symptom_id, first_state, modality, applies_to. Edit here, then regenerate State_Symptoms</t>
  </si>
  <si>
    <t xml:space="preserve">State_Communication</t>
  </si>
  <si>
    <t xml:space="preserve">Consciousness and speech ability per state (collapse has conscious_hypotensive and unconscious variants)</t>
  </si>
  <si>
    <t xml:space="preserve">Actions</t>
  </si>
  <si>
    <t xml:space="preserve">Action library ANA-xxx with category, notes, source (17 actions; ANA-018 = take tryptase sample)</t>
  </si>
  <si>
    <t xml:space="preserve">Contraindicated</t>
  </si>
  <si>
    <t xml:space="preserve">C-01 to C-04, explicit vs derived, RCUK/EAACI guideline_support column, time_penalty_seconds input (FSM designer)</t>
  </si>
  <si>
    <t xml:space="preserve">State_Actions</t>
  </si>
  <si>
    <t xml:space="preserve">State x action mapping with tier, now explicit for all 17 actions in all 3 states, realigned with Bundle_Sequence (F-26)</t>
  </si>
  <si>
    <t xml:space="preserve">Transitions</t>
  </si>
  <si>
    <t xml:space="preserve">FSM transitions; timer inputs</t>
  </si>
  <si>
    <t xml:space="preserve">Vitals_Template</t>
  </si>
  <si>
    <t xml:space="preserve">WAO constraints prefilled; HR/RR/SpO2/SBP/rhythm to fill from MIMIC-IV-ED</t>
  </si>
  <si>
    <t xml:space="preserve">Modifiers</t>
  </si>
  <si>
    <t xml:space="preserve">Triggers, cofactors, medications, comorbidities, age and regional patterns for scenario variants (extended with the remaining PDF items)</t>
  </si>
  <si>
    <t xml:space="preserve">Post_Stable_Brain3</t>
  </si>
  <si>
    <t xml:space="preserve">Post-recovery checklist for Brain 3 scoring, with PS-xx IDs, tier in stable and tier before stable</t>
  </si>
  <si>
    <t xml:space="preserve">Calculators</t>
  </si>
  <si>
    <t xml:space="preserve">Hypotension threshold and epinephrine dose calculators (formulas)</t>
  </si>
  <si>
    <t xml:space="preserve">Action_Aliases</t>
  </si>
  <si>
    <t xml:space="preserve">Drug, route, site, dose and PDF synonyms for each action; what counts as a wrong parameter</t>
  </si>
  <si>
    <t xml:space="preserve">State_Variables</t>
  </si>
  <si>
    <t xml:space="preserve">What the engine must remember (epinephrine given, dose count, last dose time, weight, baseline SBP...) and the PDF rule behind each</t>
  </si>
  <si>
    <t xml:space="preserve">Hints</t>
  </si>
  <si>
    <t xml:space="preserve">Graded hints per state from Fig. 4 and the text (wording derived, timing is Brain 1's)</t>
  </si>
  <si>
    <t xml:space="preserve">Observable_Signs</t>
  </si>
  <si>
    <t xml:space="preserve">Signs the trainee sees, hears or reads on a monitor, linked to symptom_id</t>
  </si>
  <si>
    <t xml:space="preserve">Patient_Profile_Schema</t>
  </si>
  <si>
    <t xml:space="preserve">Fields a patient needs (age, weight, baseline SBP, trigger, cofactors, medication...) with allowed values from the PDF</t>
  </si>
  <si>
    <t xml:space="preserve">Differential_Dx</t>
  </si>
  <si>
    <t xml:space="preserve">WAO Table 3 differential diagnosis (includes MI)</t>
  </si>
  <si>
    <t xml:space="preserve">Extra_Facts</t>
  </si>
  <si>
    <t xml:space="preserve">Epidemiology, practice gaps, diagnostics and availability facts from the PDF</t>
  </si>
  <si>
    <t xml:space="preserve">Autoinjector_Notes</t>
  </si>
  <si>
    <t xml:space="preserve">Auto-injector sizing, technique and availability (WAO); see also Epinephrine_Doses for EAACI's dose bands</t>
  </si>
  <si>
    <t xml:space="preserve">Fluid_Bolus_Comparison</t>
  </si>
  <si>
    <t xml:space="preserve">Resolves the fluid-dose conflict: RCUK 2021 (default), WAO's two figures, and EAACI, side by side</t>
  </si>
  <si>
    <t xml:space="preserve">Repeat_Interval_Comparison</t>
  </si>
  <si>
    <t xml:space="preserve">RCUK's fixed 5-min repeat (default) vs WAO's 5-15 min and EAACI's 5-10 min</t>
  </si>
  <si>
    <t xml:space="preserve">Bundle_Sequence</t>
  </si>
  <si>
    <t xml:space="preserve">RCUK 2021's own treatment algorithm, ordered step-by-step per FSM state, confirming the bundle rule</t>
  </si>
  <si>
    <t xml:space="preserve">Refractory_Drug_Doses</t>
  </si>
  <si>
    <t xml:space="preserve">Full RCUK Appendix 3 table: adrenaline infusion, aminophylline, atropine, glucagon, hydrocortisone, ipratropium, metaraminol, noradrenaline, salbutamol, vasopressin (adult + paediatric)</t>
  </si>
  <si>
    <t xml:space="preserve">Discharge_Observation</t>
  </si>
  <si>
    <t xml:space="preserve">RCUK's risk-stratified observation table (fast-track 2h / minimum 6h / extended 12h+) plus an EAACI comparison row</t>
  </si>
  <si>
    <t xml:space="preserve">Needle_Gauge</t>
  </si>
  <si>
    <t xml:space="preserve">IM needle gauge, colour code and length by age, and the injection site</t>
  </si>
  <si>
    <t xml:space="preserve">Legend</t>
  </si>
  <si>
    <t xml:space="preserve">Yellow cell, blue text</t>
  </si>
  <si>
    <t xml:space="preserve">INPUT cell for your team to fill (timers, time penalties, vitals) or an example input in Calculators.</t>
  </si>
  <si>
    <t xml:space="preserve">Grey italic row</t>
  </si>
  <si>
    <t xml:space="preserve">Example row in Vitals_Template showing the expected format. NOT clinical data. Delete before use.</t>
  </si>
  <si>
    <t xml:space="preserve">Evidence level</t>
  </si>
  <si>
    <t xml:space="preserve">In State_Symptoms: 'Direct' = term appears in the paper; 'Derived' = patient-language wording (see F-08).</t>
  </si>
  <si>
    <t xml:space="preserve">Action IDs</t>
  </si>
  <si>
    <t xml:space="preserve">ANA-005 is intentionally unused (IDs are stable identifiers, not a count).</t>
  </si>
  <si>
    <t xml:space="preserve">PS IDs</t>
  </si>
  <si>
    <t xml:space="preserve">Post-recovery actions (Post_Stable_Brain3) use PS-01 to PS-15. Before the Stable state they are neutral (F-19).</t>
  </si>
  <si>
    <t xml:space="preserve">Status values</t>
  </si>
  <si>
    <t xml:space="preserve">In State_Symptoms: 'allowed' = may be conveyed; 'forbidden' = first appears in a later state, never mention; 'superseded' = same organ, replaced by a more severe wording, do not mention.</t>
  </si>
  <si>
    <t xml:space="preserve">Modality</t>
  </si>
  <si>
    <t xml:space="preserve">subjective = only the patient can report it; observed = trainee sees or hears it; both = either; measured = monitor value. Derived classification (F-12).</t>
  </si>
  <si>
    <t xml:space="preserve">Blank vs 'not graded'</t>
  </si>
  <si>
    <t xml:space="preserve">'not graded' = symptom is not in WAO Table 7 (e.g. sense of heat). Blank in patient_can_report, trainee_can_observe, criterion1_role, inherited_from_earlier_state on forbidden/superseded rows = not applicable (those columns describe allowed symptoms only). Blank in Transitions base_timer_seconds = action-triggered, no timer. Blank in a yellow input cell = still to be filled (vitals, timers, time penalties).</t>
  </si>
  <si>
    <t xml:space="preserve">Summary (formulas)</t>
  </si>
  <si>
    <t xml:space="preserve">Symptom rows</t>
  </si>
  <si>
    <t xml:space="preserve">Symptoms defined</t>
  </si>
  <si>
    <t xml:space="preserve">Extra facts recorded</t>
  </si>
  <si>
    <t xml:space="preserve">Actions defined</t>
  </si>
  <si>
    <t xml:space="preserve">State-action mappings</t>
  </si>
  <si>
    <t xml:space="preserve">Hints defined</t>
  </si>
  <si>
    <t xml:space="preserve">Contraindicated actions</t>
  </si>
  <si>
    <t xml:space="preserve">Input cells still blank</t>
  </si>
  <si>
    <t xml:space="preserve">flag_id</t>
  </si>
  <si>
    <t xml:space="preserve">severity</t>
  </si>
  <si>
    <t xml:space="preserve">topic</t>
  </si>
  <si>
    <t xml:space="preserve">issue</t>
  </si>
  <si>
    <t xml:space="preserve">recommended_action</t>
  </si>
  <si>
    <t xml:space="preserve">previous_severity</t>
  </si>
  <si>
    <t xml:space="preserve">F-01</t>
  </si>
  <si>
    <t xml:space="preserve">Resolved in dataset</t>
  </si>
  <si>
    <t xml:space="preserve">WAO grade labels in your FSM doc</t>
  </si>
  <si>
    <t xml:space="preserve">Table 7 (p.13) gives: grade 3 = mild bronchospasm and/or GI; grade 4 = severe bronchospasm and/or laryngeal edema with stridor; grade 5 = respiratory failure and/or collapse/hypotension and/or loss of consciousness. Grades 1-2 are 'Not anaphylaxis'. Your FSM doc labels Early Reaction 'Grade I-II', Airway Compromise 'Grade III' and Cardiovascular Collapse 'Grade IV', which is one grade off.
UPDATE (24 Sep 2026): WAO_Grade_Map.fsm_state_v2 and States already map grade 3 -&gt; early_reaction, grade 4 -&gt; airway_compromise, grade 5 -&gt; cardiovascular_collapse -- this matches the recommended action exactly. The mislabelling ('Grade I-II' / 'III' / 'IV') is only in the separate FSM design document, not in this workbook; that document is being corrected outside this file.</t>
  </si>
  <si>
    <t xml:space="preserve">Change the doc to Early Reaction = Grade III (also meeting Table 2 criterion 1), Airway Compromise = Grade IV, Cardiovascular Collapse = Grade V. See WAO_Grade_Map.</t>
  </si>
  <si>
    <t xml:space="preserve">High</t>
  </si>
  <si>
    <t xml:space="preserve">F-02</t>
  </si>
  <si>
    <t xml:space="preserve">Open — vitals/timers dataset + FSM designer scope</t>
  </si>
  <si>
    <t xml:space="preserve">Values the paper does not give</t>
  </si>
  <si>
    <t xml:space="preserve">No HR, RR, SpO2 ranges and no time-to-deterioration figures. Paper also notes fatal/near-fatal events are rare even when untreated.
UPDATE (24 Sep 2026): Confirmed out of scope for guideline sourcing -- Vitals_Template values come from MIMIC-IV-ED (a separate dataset), and Transitions timers/compression are the FSM designer's decision (same scope as F-17, F-24, F-25).</t>
  </si>
  <si>
    <t xml:space="preserve">Fill Vitals_Template from MIMIC-IV-ED and Transitions timers from other literature. Describe 'no action -&gt; scenario_end' as a simulation design choice, not a WAO claim.</t>
  </si>
  <si>
    <t xml:space="preserve">F-03</t>
  </si>
  <si>
    <t xml:space="preserve">Resolved</t>
  </si>
  <si>
    <t xml:space="preserve">IV fluid dose discrepancy</t>
  </si>
  <si>
    <t xml:space="preserve">Text (p.15): 20 mL/kg crystalloid bolus. Fig. 4 (p.11): 1-2 L of 0.9% saline (5-10 mL/kg in first 5-10 min for an adult; 10 mL/kg for a child).
UPDATE (24 Sep 2026): Superseded by F-22: Fluid_Bolus_Comparison now uses RCUK 2021 (10 mL/kg child, 500-1000 mL adult, RCUK p.31) as the workbook default, with the WAO text (20 mL/kg) and WAO Fig. 4 (5-10 mL/kg adult first bolus, 10 mL/kg child) kept as comparison rows. No WAO-only figure is used uncited.</t>
  </si>
  <si>
    <t xml:space="preserve">Pick one and cite it consistently. Both are in the paper.</t>
  </si>
  <si>
    <t xml:space="preserve">Medium</t>
  </si>
  <si>
    <t xml:space="preserve">F-04</t>
  </si>
  <si>
    <t xml:space="preserve">Typos in the source PDF</t>
  </si>
  <si>
    <t xml:space="preserve">Fig. 1 footnote says '&gt;3%' (text and Table 2 say 30%). Text on p.17 says '500 mg (0.5 mg)'. Table 6 rows for 6-12 y and teenagers/adults omit the mL figure (only the header gives 0.5 mL).
UPDATE (24 Sep 2026): This is an internal WAO-paper typo, unrelated to RCUK/EAACI. Confirmed: Epinephrine_Doses already computes WAO volumes as dose / 1 mg/mL (0.15/0.3/0.5 mL all present) and Autoinjector_Notes already uses 0.5 mg. No change needed.</t>
  </si>
  <si>
    <t xml:space="preserve">Use 30% and 0.5 mg. Volumes in Epinephrine_Doses are computed (dose / 1 mg/mL), not copied.</t>
  </si>
  <si>
    <t xml:space="preserve">F-05</t>
  </si>
  <si>
    <t xml:space="preserve">Maximum epinephrine dose</t>
  </si>
  <si>
    <t xml:space="preserve">Text and Table 6: max 0.5 mg. Fig. 4: max 0.5 mg adult or 0.3 mg child.
UPDATE (24 Sep 2026): Neither RCUK nor EAACI states a single flat 'maximum dose' the way WAO's text does. Both use age/weight bands instead, and in both the child band is capped below the adult dose (RCUK: 150/300 micrograms for children vs 500 for adult/&gt;12y, p.29; EAACI: 0.15/0.3 mg for children vs at least 0.3 mg for adolescents/adults, p.364), matching WAO Fig. 4's approach (child capped at 0.3 mg) rather than a flat 0.5 mg text-only rule for all ages. This supports keeping the Calculators sheet's Fig. 4-based 0.3 mg child cap as the default.</t>
  </si>
  <si>
    <t xml:space="preserve">Calculators sheet caps child at 0.3 mg per Fig. 4. Change if your team prefers the text-only rule.</t>
  </si>
  <si>
    <t xml:space="preserve">Low</t>
  </si>
  <si>
    <t xml:space="preserve">F-06</t>
  </si>
  <si>
    <t xml:space="preserve">Contraindicated tier is partly derived</t>
  </si>
  <si>
    <t xml:space="preserve">WAO lists few explicit contraindications. C-01, C-02 and C-04 are explicit; C-03 (substituting other drugs for epinephrine) is derived from statements that bronchodilators are not an alternative and antihistamines can delay epinephrine. Time-penalty size is your design parameter.
UPDATE (24 Sep 2026, RCUK 2021 and EAACI 2021 read): RCUK now states all four explicitly. C-01: IV adrenaline only by experienced specialists in an appropriate setting; undiluted 1:1000 must not be given IV (RCUK pp.7, 30, 37, Appendix 3 p.57; EAACI pp.362-363). C-02: H1-antihistamines can cause hypotension when given as a rapid IV bolus (RCUK p.32). C-03: antihistamines must not be given in preference to adrenaline and their use often delays it (RCUK p.32); steroids must not be given preferentially to adrenaline (p.33); bronchodilators and nebulised adrenaline must not replace further parenteral adrenaline (pp.30, 33). C-04: fatality can occur within minutes if the patient stands, walks or sits up suddenly (RCUK pp.19, 26; EAACI p.361: avoid any abrupt change to a more upright posture). RCUK says 'within minutes' and WAO 'within seconds'; quote each source in its own wording. RCUK p.37 allows a specialist IV bolus while an infusion is being set up, so C-01 applies to non-specialist trainees.</t>
  </si>
  <si>
    <t xml:space="preserve">Tier is source-confirmed. C-03 can now be treated as Explicit (RCUK 2021); see Contraindicated column I. time_penalty_seconds is set by the FSM designer (F-24). Clinical expert validation remains the final step.</t>
  </si>
  <si>
    <t xml:space="preserve">F-07</t>
  </si>
  <si>
    <t xml:space="preserve">Verified</t>
  </si>
  <si>
    <t xml:space="preserve">Table 7 grade columns</t>
  </si>
  <si>
    <t xml:space="preserve">Checked on the rendered PDF page 13. Header 'Not anaphylaxis' spans grades 1-2 and 'ANAPHYLAXIS' spans grades 3-5. Grade 3 = mild bronchospasm and/or GI (abdominal cramps, vomiting/diarrhea), uterine cramps; grade 4 = severe bronchospasm and/or laryngeal edema with stridor; grade 5 = respiratory failure and/or collapse/hypotension and/or loss of consciousness. No 'death' grade exists.</t>
  </si>
  <si>
    <t xml:space="preserve">None. The header lists grade 3 under ANAPHYLAXIS while the p.17 text says only some grade 3 reactions fit the definition, which is why Early Reaction also requires Table 2 criterion 1.</t>
  </si>
  <si>
    <t xml:space="preserve">F-08</t>
  </si>
  <si>
    <t xml:space="preserve">Resolved (note verified correct)</t>
  </si>
  <si>
    <t xml:space="preserve">Derived symptom wording</t>
  </si>
  <si>
    <t xml:space="preserve">'Throat or tongue tightness' and 'marked shortness of breath' are patient-language renderings of laryngeal involvement (Table 2) and severe bronchospasm (Table 7 grade 4), not verbatim paper terms. Marked 'Derived' in State_Symptoms.
UPDATE (24 Sep 2026): Checked against RCUK/EAACI: both use similar patient-facing language ('throat feels as if it is closing', 'sense of impending doom', RCUK pp.21-22; persistent cough, difficult/noisy breathing, EAACI Boxes 6-7 pp.369-370) without giving these as verbatim WAO terms either. The existing note (keep for dialogue, do not cite as direct WAO wording) is accurate and needs no change.</t>
  </si>
  <si>
    <t xml:space="preserve">Keep for natural dialogue, but do not cite them as direct WAO wording.</t>
  </si>
  <si>
    <t xml:space="preserve">F-09</t>
  </si>
  <si>
    <t xml:space="preserve">C-04 is conditional</t>
  </si>
  <si>
    <t xml:space="preserve">Fig. 4 warns fatality can occur within seconds if the patient stands or sits suddenly, but sitting is acceptable when there is respiratory distress (p.15).
UPDATE (24 Sep 2026, RCUK 2021 and EAACI 2021 read): RCUK p.26 (section 4.4) and Fig. 6 p.25: patients must not walk or stand during acute reactions; patients with Airway and Breathing problems may prefer a semi-recumbent position; lying flat, with or without leg elevation, for low blood pressure. EAACI p.361 and Fig. 1 p.364 say the same. RCUK p.19 limits the semi-recumbent position to predominantly respiratory symptoms with no evidence of cardiovascular instability.
UPDATE (25 Sep 2026): State_Actions row for C-04 in cardiovascular_collapse aligned — the 'not in respiratory distress' exemption has been removed for this state; RCUK p.19 confines that exemption to purely respiratory presentations with no cardiovascular instability.</t>
  </si>
  <si>
    <t xml:space="preserve">Done — condition_note for C-04 in cardiovascular_collapse (State_Actions) updated to remove the respiratory-distress exemption.</t>
  </si>
  <si>
    <t xml:space="preserve">F-10</t>
  </si>
  <si>
    <t xml:space="preserve">Resolved (see F-20, F-26)</t>
  </si>
  <si>
    <t xml:space="preserve">Bundle logic not specified</t>
  </si>
  <si>
    <t xml:space="preserve">WAO names IM epinephrine as first-line/definitive; O2, IV access and fluids are supportive. It does not say whether all listed actions are required for a transition.
UPDATE (24 Sep 2026): Team decision made: not ALL, not ANY, but a per-state required set (see Bundle_Sequence and the State_Actions tiers realigned in F-26). F-10 is superseded and kept only for history.</t>
  </si>
  <si>
    <t xml:space="preserve">Team decision (ALL vs epinephrine-only vs ANY). Brain 3 partial credit applies either way (FSM doc, Limitation 4).</t>
  </si>
  <si>
    <t xml:space="preserve">F-11</t>
  </si>
  <si>
    <t xml:space="preserve">Partially resolved</t>
  </si>
  <si>
    <t xml:space="preserve">Speech ability per state is derived</t>
  </si>
  <si>
    <t xml:space="preserve">WAO gives loss of consciousness only for grade 5, and grade 5 is 'and/or' (collapse/hypotension can occur while conscious). 'Short phrases' for grade 4 and 'full sentences' for grade 3 are standard clinical assessment, not WAO wording. See State_Communication.
UPDATE (24 Sep 2026, RCUK 2021 and EAACI 2021 read): Consciousness and collapse features are supported by RCUK pp.21-22 and Table 3 p.23 (dizziness, decreased conscious level or loss of consciousness, confusion, agitation), EAACI Fig. 1 p.364 (dizziness, fainting, confusion) and EAACI Boxes 6-7 pp.369-370 (persistent dizziness, suddenly sleepy, collapse/unconscious). Loss of consciousness is not required for grade 5, which supports the conscious_hypotensive variant. The speech-ability wording (full sentences / short phrases / single words) is not in RCUK, EAACI or WAO.</t>
  </si>
  <si>
    <t xml:space="preserve">Keep the speech column marked 'Derived (clinical convention)' and do not cite it to any anaphylaxis guideline. Clinical expert to confirm at final validation.</t>
  </si>
  <si>
    <t xml:space="preserve">F-12</t>
  </si>
  <si>
    <t xml:space="preserve">Still open</t>
  </si>
  <si>
    <t xml:space="preserve">Modality classification is derived</t>
  </si>
  <si>
    <t xml:space="preserve">subjective / observed / both / measured in Symptom_Master follows clinical convention (what only the patient can report vs what the trainee can see, hear or read on a monitor). It is not stated in WAO.
UPDATE (24 Sep 2026, RCUK 2021 and EAACI 2021 read): Neither RCUK nor EAACI classifies symptoms as subjective / observed / both / measured. RCUK p.21 and EAACI Fig. 1 p.364 list symptoms and signs together, so they can be used to cross-check placement but not to validate the classification.</t>
  </si>
  <si>
    <t xml:space="preserve">Document as a design definition (symptom = reported by the patient; sign = observed or measured), not a guideline claim. Expert to spot-check.</t>
  </si>
  <si>
    <t xml:space="preserve">F-13</t>
  </si>
  <si>
    <t xml:space="preserve">Mild wheeze is marked 'superseded' in airway and collapse</t>
  </si>
  <si>
    <t xml:space="preserve">Grade 3 'mild bronchospasm, responds to treatment' and grade 4 'severe bronchospasm, not responding' describe the same organ at different severity, so the mild wording would contradict the state. The WAO inclusion rule ('any symptom from grades 1 or 3 is included') is kept for every other symptom.
UPDATE (24 Sep 2026, RCUK 2021 and EAACI 2021 read): No guideline states that mild wheeze must stop being mentioned once the state worsens. RCUK p.21 says breathing problems 'can vary from mild bronchospasm to life-threatening asthma', which supports treating them as one severity continuum.</t>
  </si>
  <si>
    <t xml:space="preserve">Keep the 'superseded' rule as a documented consistency decision. Optionally merge mild and severe wheeze into one symptom_id with severity levels. Expert to confirm.</t>
  </si>
  <si>
    <t xml:space="preserve">F-14</t>
  </si>
  <si>
    <t xml:space="preserve">Forbidden lists are now generated, uterine cramps added</t>
  </si>
  <si>
    <t xml:space="preserve">Forbidden = every symptom whose first_state is later than the current state, matched by symptom_id (fixes 9 missing entries in early_reaction, 4 in airway_compromise and the name mismatches such as 'voice change' vs 'hoarse/changed voice'). Uterine cramps (grade 3, WAO_Grade_Map) was missing from State_Symptoms and is added as female-only.</t>
  </si>
  <si>
    <t xml:space="preserve">Do not edit forbidden rows by hand. Change first_state in Symptom_Master and regenerate.</t>
  </si>
  <si>
    <t xml:space="preserve">F-15</t>
  </si>
  <si>
    <t xml:space="preserve">Completed State_Actions tiers are read from WAO's indication wording</t>
  </si>
  <si>
    <t xml:space="preserve">Every state x action pair is now explicit (16 actions x 3 states). 'conditional' = only under a condition the PDF states; 'neutral' = the PDF gives no indication in that state, which is not proof that the action is harmless. CPR (ANA-013) in early and airway state is neutral because the PDF only says 'where indicated'.
UPDATE (24 Sep 2026, RCUK 2021 and EAACI 2021 read): RCUK Fig. 6 p.25, Fig. 7 p.36 and pp.26, 31, 34, 37, 39: CPR only in cardiac arrest (pp.26, 39), so 'neutral' in early/airway is source-consistent; after arrest IM adrenaline is unreliable and IV/IO adrenaline is used (p.26). IV fluid bolus is for hypotension/shock or poor response to the first dose (p.31), so 'conditional' rather than 'neutral' in early/airway. Adrenaline infusion is for refractory anaphylaxis after two IM doses (pp.34, 37). Glucagon is for patients on beta-blockers who remain refractory to infusion and fluids (p.39). Antihistamines are third-line and steroids are not routine (pp.9, 32-33). Oxygen is recommended for all patients (RCUK p.31, EAACI p.365) but is supportive, not the required action. Some current State_Actions and Transitions entries differ from this (see F-26).
UPDATE (24 Sep 2026): Tiers realigned with Bundle_Sequence; see F-26 for the exact changes applied to State_Actions and Transitions. Expert to confirm CPR and infusion tiers at final validation.</t>
  </si>
  <si>
    <t xml:space="preserve">Align State_Actions and Transitions with Bundle_Sequence (F-26) before final validation. Expert to confirm CPR and infusion tiers.</t>
  </si>
  <si>
    <t xml:space="preserve">F-16</t>
  </si>
  <si>
    <t xml:space="preserve">Wording in Hints, Observable_Signs and Action_Aliases is derived</t>
  </si>
  <si>
    <t xml:space="preserve">Content follows PDF terms (see the source columns) but the phrasing is ours, not WAO text. Brand names such as EpiPen or Auvi-Q appear in the PDF only in reference titles, so they are not in Action_Aliases. Hint timing and visibility are Brain 1's job.</t>
  </si>
  <si>
    <t xml:space="preserve">Do not quote hint or cue wording as WAO text. Add trainee phrase variants (how people actually say it) as an NLP task.</t>
  </si>
  <si>
    <t xml:space="preserve">F-17</t>
  </si>
  <si>
    <t xml:space="preserve">Open — FSM designer scope</t>
  </si>
  <si>
    <t xml:space="preserve">Time values in State_Variables and Hints are real clinical minutes</t>
  </si>
  <si>
    <t xml:space="preserve">The 5-15 min repeat interval and similar values are real time. The PDF gives no penalty for repeating epinephrine too early or too late.
UPDATE (24 Sep 2026): Confirmed as a design decision, not a sourcing gap: no guideline gives a penalty for early/late repeat dosing. Time-compression factor and any repeat-timing scoring are the FSM designer's decision (same scope as F-24/F-25).</t>
  </si>
  <si>
    <t xml:space="preserve">Convert with the time-compression factor before use. Decide any repeat-timing scoring with the expert.</t>
  </si>
  <si>
    <t xml:space="preserve">F-18</t>
  </si>
  <si>
    <t xml:space="preserve">Observable_Signs holds only signs the PDF names</t>
  </si>
  <si>
    <t xml:space="preserve">Cyanosis, pallor, sweating, use of accessory muscles and tachycardia are NOT in the PDF, so they were not added. WAO also gives no SpO2 cut-off for hypoxemia.
UPDATE (24 Sep 2026, RCUK 2021 and EAACI 2021 read): Second sources found. RCUK p.21 and Fig. 6 p.25: increased work of breathing, fatigue, hypoxaemia (SpO2 &lt;94%), central cyanosis, pale and clammy skin, significant tachycardia, hypotension. EAACI Fig. 1 p.364: dyspnoea, tachypnoea, cyanosis, tachycardia, dizziness, fainting, confusion. Sweating and accessory-muscle use are not named as such in either guideline.
UPDATE (25 Sep 2026): Added SYM-031 (cyanosis), SYM-032 (increased work of breathing), SYM-033 (pale, clammy skin) and SYM-034 (tachycardia) to Symptom_Master, and SIGN-023 to SIGN-026 to Observable_Signs, all evidence_level 'Derived', citing RCUK p.21/Fig.6 p.25 and EAACI Fig.1 p.364. Sweating and accessory-muscle use intentionally NOT added (not named in either guideline). SpO2 &lt;94% kept as reference threshold only (already noted against SIGN-021 hypoxemia).</t>
  </si>
  <si>
    <t xml:space="preserve">Done — 4 new symptoms + 4 new observable signs added; see Symptom_Master and Observable_Signs.</t>
  </si>
  <si>
    <t xml:space="preserve">F-19</t>
  </si>
  <si>
    <t xml:space="preserve">Post-recovery actions use PS-xx IDs and are neutral before the Stable state</t>
  </si>
  <si>
    <t xml:space="preserve">PS-01 to PS-15 (Post_Stable_Brain3) are scored by Brain 3 after recovery. 'Neutral before stable' is a design choice: the PDF says anaphylaxis needs immediate management (p.14) but does not tier discharge actions by state.
UPDATE (24 Sep 2026, RCUK 2021 and EAACI 2021 read): RCUK pp.7, 42-45 and EAACI p.366 (Box 4) place observation, auto-injector prescription with training, written action plan, allergy referral and record keeping after treatment and stabilisation. Neither guideline tiers them by FSM state, so 'neutral before stable' is consistent with the sources. Two corrections: (1) RCUK pp.7, 45 recommend an auto-injector for all patients except those with a drug-induced reaction (unless future exposure is hard to avoid), so PS-02 needs this condition. (2) The acute tryptase sample is taken during the reaction (see F-31).</t>
  </si>
  <si>
    <t xml:space="preserve">Add the drug-induced exception to PS-02. Handle the acute tryptase sample under F-31. No other change.</t>
  </si>
  <si>
    <t xml:space="preserve">F-20</t>
  </si>
  <si>
    <t xml:space="preserve">Resolved (see F-26)</t>
  </si>
  <si>
    <t xml:space="preserve">Bundle rule for FSM state transitions (was undecided)</t>
  </si>
  <si>
    <t xml:space="preserve">RCUK 2021's own algorithm (Fig. 6/7) makes IM adrenaline the single required action for transitioning early_reaction and airway_compromise to stable; all other actions (remove trigger, call for help, position, O2, monitor, fluids) are supportive/conditional, not required for the transition. This matches the design already used in Transitions/State_Actions.</t>
  </si>
  <si>
    <t xml:space="preserve">Source confirms the bundle rule for early_reaction. However, State_Actions and Transitions still list oxygen (and, in collapse, IV access and fluids) as transition triggers, which differs from Bundle_Sequence. See F-26.</t>
  </si>
  <si>
    <t xml:space="preserve">F-21</t>
  </si>
  <si>
    <t xml:space="preserve">Repeat-dose interval conflict (WAO 5-15 min vs a single number)</t>
  </si>
  <si>
    <t xml:space="preserve">RCUK 2021 (most recent, GRADE-based) specifies a fixed 5-minute repeat interval, not a 5-15 min range. WAO's wider range and EAACI's '5-10 min' checklist are kept as alternatives.</t>
  </si>
  <si>
    <t xml:space="preserve">RCUK's 5 min is used as the default in Bundle_Sequence and Repeat_Interval_Comparison. Confirm with expert before hard-coding into Brain 1 timers.</t>
  </si>
  <si>
    <t xml:space="preserve">F-22</t>
  </si>
  <si>
    <t xml:space="preserve">Fluid bolus conflict (WAO's two internally-conflicting figures, F-03)</t>
  </si>
  <si>
    <t xml:space="preserve">A third, more recent and internally-consistent guideline (RCUK 2021) is now the default: child 10 mL/kg, adult 500-1000 mL rapid bolus, non-glucose crystalloid, up to 3-5 L in adults for severe shock. WAO's two figures and EAACI's figures are kept for comparison.</t>
  </si>
  <si>
    <t xml:space="preserve">See Fluid_Bolus_Comparison. RCUK figure used as the workbook default; expert to confirm at final validation.</t>
  </si>
  <si>
    <t xml:space="preserve">F-23</t>
  </si>
  <si>
    <t xml:space="preserve">Timers (item 3): exact anchor times</t>
  </si>
  <si>
    <t xml:space="preserve">RCUK 2021's own Figure 4 (p.17) independently reports the same anchor times as Pumphrey 2000 (food ~30 min, venom 10-15 min, IV medication ~5 min to arrest), which strengthens confidence in these numbers as a second, current, national-guideline source.</t>
  </si>
  <si>
    <t xml:space="preserve">The split of a disease's total time across the 3 FSM states, and the sim-time compression factor, are still design decisions — not resolved by any guideline.</t>
  </si>
  <si>
    <t xml:space="preserve">F-24</t>
  </si>
  <si>
    <t xml:space="preserve">Time penalty (item 2): no numeric value in any guideline</t>
  </si>
  <si>
    <t xml:space="preserve">RCUK 2021 adds further real-world evidence that IV bolus adrenaline and sudden posture change are dangerous (RCUK p.30: fatalities have occurred in the UK from inappropriate IV adrenaline given for non-anaphylaxis allergic reactions; RCUK pp.19, 26: sudden posture change is associated with collapse and death), but gives no numeric penalty for the FSM's timer.
UPDATE (24 Sep 2026, RCUK 2021 and EAACI 2021 read): The figure 'three UK deaths' that appeared in the earlier wording is not stated in the RCUK PDF text and was removed.</t>
  </si>
  <si>
    <t xml:space="preserve">Still requires a numeric decision by the FSM designer and pilot testing. Guidelines give direction only: C-01 and C-04 carry documented deaths, C-02 causes hypotension, C-03 delays adrenaline.</t>
  </si>
  <si>
    <t xml:space="preserve">F-25</t>
  </si>
  <si>
    <t xml:space="preserve">Resolved (numeric modifiers); escalation lines still open</t>
  </si>
  <si>
    <t xml:space="preserve">Escalation lines (item 6) and Worm 2018 numeric modifiers (item 4)</t>
  </si>
  <si>
    <t xml:space="preserve">Neither RCUK 2021 nor EAACI 2021 supplies dialogue text for gradual symptom escalation, or numeric odds ratios for cofactors/comorbidities.
UPDATE (24 Sep 2026, RCUK 2021 and EAACI 2021 read): Patient-language cues can be taken from EAACI Boxes 6-7 pp.369-370 (persistent cough, hoarse voice, difficulty swallowing, swollen tongue, difficult or noisy breathing, wheeze, persistent dizziness, pale or floppy, suddenly sleepy, collapse) and RCUK pp.21-22 (throat feels as if it is closing, anxiety, 'sense of impending doom', confusion, agitation). The Worm 2018 odds ratios are in neither PDF.
UPDATE (25 Sep 2026, Worm et al. 2018, Allergy 73(6):1322-1330, doi:10.1111/all.13380, read): Numeric odds ratios for cofactors/comorbidities now sourced from Table 1 of this paper (European Anaphylaxis Registry, n=7316). See new 'Worm2018_Modifiers' sheet for the full OR/CI table (NIAID/FAAN and Ring &amp; Messmer models). Escalation dialogue lines (item 6) remain team-written, per original recommended_action.</t>
  </si>
  <si>
    <t xml:space="preserve">Numeric modifiers: DONE — use Worm2018_Modifiers sheet values, tagged evidence_level 'Empirical (Worm 2018)'. Escalation lines: team still writes the dialogue, maps each line to a symptom_id, tags evidence_level 'Derived (team-written)'.</t>
  </si>
  <si>
    <t xml:space="preserve">F-26</t>
  </si>
  <si>
    <t xml:space="preserve">State_Actions and Transitions differ from Bundle_Sequence</t>
  </si>
  <si>
    <t xml:space="preserve">Transitions requires ANA-004 and ANA-007 for airway_compromise -&gt; stable, and ANA-004, ANA-008, ANA-009 and ANA-007 for cardiovascular_collapse -&gt; stable. State_Actions marks ANA-007 (airway) and ANA-007/008/009 (collapse) as 'correct' with triggers_transition = Yes. Bundle_Sequence (RCUK Fig. 6/7, pp.25, 31, 34-37) makes IM adrenaline the only required action in early_reaction and airway_compromise (oxygen = No), and in collapse requires IM doses until two have been given, then an adrenaline infusion; fluids are conditional; CPR if arrested. State_Actions collapse and airway notes also say 'every 5-15 min' (WAO) while Bundle_Sequence uses 5 min (F-21), and Actions/Calculators still use 0.01 mg/kg with a 0.3 mg child cap (WAO, F-05) while Epinephrine_Doses uses RCUK as default. F-20 says no change is needed; that is not correct for the current sheets.
UPDATE (24 Sep 2026): Applied: oxygen (ANA-007) is now supportive, not a transition trigger, in every state. IV fluids (ANA-009) are conditional (not neutral) in early_reaction and airway_compromise. Adrenaline infusion (ANA-014) and glucagon (ANA-015) are neutral in airway_compromise (both require the refractory/cardiovascular_collapse state per RCUK p.34, p.37, p.39) and conditional/correct in cardiovascular_collapse. In cardiovascular_collapse, the required transition action is now two IM adrenaline doses (ANA-004) followed by the adrenaline infusion (ANA-014); oxygen and IV access are supportive, IV fluids are conditional, and CPR (ANA-013) triggers transition only if the patient has arrested. Transitions rows for airway_compromise and cardiovascular_collapse updated to match. F-20's 'no change needed' wording is now correct.</t>
  </si>
  <si>
    <t xml:space="preserve">FSM team to choose: keep the current bundle as a design choice and reword F-20, or align State_Actions and Transitions with Bundle_Sequence. RCUK-aligned suggestion: oxygen supportive (not a trigger) in all states; IV access/fluids conditional in early/airway; collapse triggered by IM doses (until two), infusion (ANA-014) and CPR if arrested; glucagon conditional in collapse only. Not applied automatically because it changes FSM logic.</t>
  </si>
  <si>
    <t xml:space="preserve">F-27</t>
  </si>
  <si>
    <t xml:space="preserve">Missing and conflicting doses in Action_Aliases</t>
  </si>
  <si>
    <t xml:space="preserve">Action_Aliases showed 'No dose in PDF' for ANA-011, 012, 014, 015, 016 and 017 (WAO gives none). RCUK 2021 gives them (Appendix 3 p.57; p.30; Table 4 p.32) and they are now entered in Action_Aliases. Conflict: nebulised adrenaline is 5 mL of 1 mg/mL, i.e. 5 mg (RCUK p.30), but 1 mg in 4 mL 0.9% NaCl (EAACI Fig. 1 p.364). Neither guideline gives a chlorphenamine dose; RCUK recommends an oral non-sedating antihistamine such as cetirizine after stabilisation (Table 4 p.32).
UPDATE (24 Sep 2026): Doses added to Action_Aliases for ANA-011, 012, 014, 015, 016 and 017 from RCUK Appendix 3 p.57, p.30 and Table 4 p.32.</t>
  </si>
  <si>
    <t xml:space="preserve">Use RCUK as the default and keep the EAACI value as a comparison. Confirm the nebulised dose with the expert.</t>
  </si>
  <si>
    <t xml:space="preserve">F-28</t>
  </si>
  <si>
    <t xml:space="preserve">Oxygen flow rate differs between guidelines</t>
  </si>
  <si>
    <t xml:space="preserve">WAO Fig. 4: 6-8 L/min by face mask. EAACI Fig. 1 p.364: 10 L/min with a reservoir bag. RCUK p.31: highest concentration possible with a reservoir mask, then titrate to SpO2 94-98% (88-92% if at risk of hypercapnic respiratory failure). Global_Rules D16, Actions D7 and Action_Aliases G7 use the WAO figure.
UPDATE (24 Sep 2026): Global_Rules D16/E16, Actions D7/E7 and Action_Aliases (ANA-007) updated to RCUK as the default oxygen instruction, with WAO and EAACI flow rates kept as comparison text. SpO2 titration needs the SpO2 value from the vitals data (still blank per F-02, designer/other-dataset scope).</t>
  </si>
  <si>
    <t xml:space="preserve">Default to RCUK and keep WAO and EAACI as comparison. Titration to SpO2 needs the SpO2 value from the vitals data.</t>
  </si>
  <si>
    <t xml:space="preserve">F-29</t>
  </si>
  <si>
    <t xml:space="preserve">EAACI dose bands are also treatment doses</t>
  </si>
  <si>
    <t xml:space="preserve">Epinephrine_Doses labels the EAACI rows as auto-injector prescribing only. EAACI Fig. 1 p.364 also gives treatment doses (0.15 mg for &lt;25-30 kg, 0.3 mg for &gt;=25-30 kg, 0.5 mg may be considered for adolescents and adults), and p.365 states the healthcare-setting IM dose is 0.01 mg/kg, with 0.5 mg or a repeated 0.3 mg considered in severe reactions.
UPDATE (24 Sep 2026): Epinephrine_Doses EAACI rows corrected: they are also healthcare-provider treatment doses (EAACI Fig. 1 p.364), not only auto-injector prescribing bands. Added the EAACI 0.01 mg/kg healthcare-setting rule (p.365) as a new row.</t>
  </si>
  <si>
    <t xml:space="preserve">Update the EAACI note in Epinephrine_Doses. RCUK remains the default.</t>
  </si>
  <si>
    <t xml:space="preserve">F-30</t>
  </si>
  <si>
    <t xml:space="preserve">Observation duration differs between guidelines</t>
  </si>
  <si>
    <t xml:space="preserve">RCUK pp.42-43: fast-track 2 h, minimum 6 h, at least 12 h depending on risk. EAACI p.366: monitor 6-8 h with respiratory compromise and at least 12-24 h with hypotension. Discharge_Observation contains RCUK only.
UPDATE (24 Sep 2026): Added an EAACI 2021 comparison row to Discharge_Observation (p.366: 6-8 h respiratory compromise, 12-24 h hypotension). RCUK remains the default.</t>
  </si>
  <si>
    <t xml:space="preserve">Keep RCUK as the default and add an EAACI comparison row.</t>
  </si>
  <si>
    <t xml:space="preserve">F-31</t>
  </si>
  <si>
    <t xml:space="preserve">Acute tryptase sample is not modelled</t>
  </si>
  <si>
    <t xml:space="preserve">RCUK p.41 and EAACI p.361 recommend a tryptase sample as soon as feasible without delaying treatment, a second sample 1-2 h (no later than 4 h) after onset, and a baseline at least 24 h after resolution. RCUK Fig. 7 p.36 includes 'take blood sample for mast cell tryptase'. Post_Stable_Brain3 contains only the baseline (PS-07) and Actions has no action for the acute sample.
UPDATE (24 Sep 2026): Added action ANA-018 'take blood sample for mast cell tryptase' (Actions, Action_Aliases, State_Actions in all 3 states, tier supportive, must not delay adrenaline). PS-07 keeps the baseline (&gt;=24 h) sample; ANA-018 covers the acute/2-hour sample.</t>
  </si>
  <si>
    <t xml:space="preserve">Team decision: add an action (for example ANA-018 'take tryptase sample') as supportive in all states that must not delay adrenaline, and keep PS-07 for the baseline.</t>
  </si>
  <si>
    <t xml:space="preserve">table7_grade</t>
  </si>
  <si>
    <t xml:space="preserve">organ_systems_and_symptoms</t>
  </si>
  <si>
    <t xml:space="preserve">anaphylaxis_per_paper</t>
  </si>
  <si>
    <t xml:space="preserve">fsm_state_v2</t>
  </si>
  <si>
    <t xml:space="preserve">confidence</t>
  </si>
  <si>
    <t xml:space="preserve">source</t>
  </si>
  <si>
    <t xml:space="preserve">1</t>
  </si>
  <si>
    <t xml:space="preserve">One organ system present. Cutaneous: urticaria and/or erythema-warmth and/or pruritus (other than at an injection site); tingling or itching of the lips, or angioedema (not laryngeal). Upper respiratory: nasal symptoms (sneezing, rhinorrhea, pruritus, congestion); throat-clearing (itchy throat); cough not related to bronchospasm. Conjunctival: erythema, pruritus, tearing. Other: nausea, metallic taste.</t>
  </si>
  <si>
    <t xml:space="preserve">No (header 'Not anaphylaxis')</t>
  </si>
  <si>
    <t xml:space="preserve">Not a state (pre-anaphylaxis)</t>
  </si>
  <si>
    <t xml:space="preserve">Verified on rendered PDF pp.13-14</t>
  </si>
  <si>
    <t xml:space="preserve">Table 7 pp.13-14</t>
  </si>
  <si>
    <t xml:space="preserve">2</t>
  </si>
  <si>
    <t xml:space="preserve">Symptoms/signs from 2 or more organ systems (the cell text is cut off in the PDF at '&gt;=2 organ').</t>
  </si>
  <si>
    <t xml:space="preserve">Verified on rendered PDF p.13</t>
  </si>
  <si>
    <t xml:space="preserve">Table 7 p.13</t>
  </si>
  <si>
    <t xml:space="preserve">3</t>
  </si>
  <si>
    <t xml:space="preserve">Lower airway: mild bronchospasm (cough, wheezing, shortness of breath) which responds to treatment. And/or gastrointestinal: abdominal cramps and/or vomiting/diarrhea. Other: uterine cramps. Any grade 1 symptom is included.</t>
  </si>
  <si>
    <t xml:space="preserve">Header says ANAPHYLAXIS; p.17 text adds that only some grade 3 reactions fit the definition</t>
  </si>
  <si>
    <t xml:space="preserve">early_reaction</t>
  </si>
  <si>
    <t xml:space="preserve">Table 7 p.13; p.17</t>
  </si>
  <si>
    <t xml:space="preserve">4</t>
  </si>
  <si>
    <t xml:space="preserve">Lower airway: severe bronchospasm not responding or worsening in spite of treatment. And/or upper airway: laryngeal edema with stridor. Any symptom from grades 1 or 3 is included.</t>
  </si>
  <si>
    <t xml:space="preserve">Yes (header ANAPHYLAXIS)</t>
  </si>
  <si>
    <t xml:space="preserve">airway_compromise</t>
  </si>
  <si>
    <t xml:space="preserve">5</t>
  </si>
  <si>
    <t xml:space="preserve">Lower or upper airway: respiratory failure. And/or cardiovascular: collapse/hypotension. And/or loss of consciousness (vasovagal excluded). Any symptom from grades 1, 3 or 4 is included.</t>
  </si>
  <si>
    <t xml:space="preserve">cardiovascular_collapse</t>
  </si>
  <si>
    <t xml:space="preserve">rule_id</t>
  </si>
  <si>
    <t xml:space="preserve">category</t>
  </si>
  <si>
    <t xml:space="preserve">parameter</t>
  </si>
  <si>
    <t xml:space="preserve">value</t>
  </si>
  <si>
    <t xml:space="preserve">G-01</t>
  </si>
  <si>
    <t xml:space="preserve">Diagnosis</t>
  </si>
  <si>
    <t xml:space="preserve">Criterion 1</t>
  </si>
  <si>
    <t xml:space="preserve">Acute onset (minutes to several hours) of skin and/or mucosal involvement (generalized hives, pruritus/flushing, swollen lips-tongue-uvula) AND at least one of: (a) respiratory compromise (dyspnea, wheeze-bronchospasm, stridor, reduced PEF, hypoxemia); (b) reduced BP or end-organ dysfunction (hypotonia/collapse, syncope, incontinence); (c) severe GI symptoms (severe crampy abdominal pain, repetitive vomiting), especially after non-food allergens. Symptoms appear more or less simultaneously.</t>
  </si>
  <si>
    <t xml:space="preserve">Table 2 p.5; Fig. 1 p.6; p.9</t>
  </si>
  <si>
    <t xml:space="preserve">G-02</t>
  </si>
  <si>
    <t xml:space="preserve">Criterion 2</t>
  </si>
  <si>
    <t xml:space="preserve">Acute onset of hypotension OR bronchospasm OR laryngeal involvement (stridor, vocal changes, odynophagia) after exposure to a known or highly probable allergen for that patient, even without typical skin involvement.</t>
  </si>
  <si>
    <t xml:space="preserve">Table 2 p.5; Fig. 1 p.6</t>
  </si>
  <si>
    <t xml:space="preserve">G-03</t>
  </si>
  <si>
    <t xml:space="preserve">Skin signs absent</t>
  </si>
  <si>
    <t xml:space="preserve">Skin signs are absent in 10-20% of anaphylaxis reactions (supports a no-skin scenario variant).</t>
  </si>
  <si>
    <t xml:space="preserve">p.7</t>
  </si>
  <si>
    <t xml:space="preserve">G-04</t>
  </si>
  <si>
    <t xml:space="preserve">Hypotension</t>
  </si>
  <si>
    <t xml:space="preserve">All ages</t>
  </si>
  <si>
    <t xml:space="preserve">Decrease in systolic BP greater than 30% from the person's baseline.</t>
  </si>
  <si>
    <t xml:space="preserve">Table 2 footnote a</t>
  </si>
  <si>
    <t xml:space="preserve">G-05</t>
  </si>
  <si>
    <t xml:space="preserve">Adults and children over 10 y</t>
  </si>
  <si>
    <t xml:space="preserve">Systolic BP &lt; 90 mmHg.</t>
  </si>
  <si>
    <t xml:space="preserve">G-06</t>
  </si>
  <si>
    <t xml:space="preserve">Infants and children under 10 y</t>
  </si>
  <si>
    <t xml:space="preserve">Systolic BP &lt; 70 mmHg + (2 x age in years).</t>
  </si>
  <si>
    <t xml:space="preserve">G-07</t>
  </si>
  <si>
    <t xml:space="preserve">Epinephrine</t>
  </si>
  <si>
    <t xml:space="preserve">Route and site</t>
  </si>
  <si>
    <t xml:space="preserve">Intramuscular, mid-anterolateral thigh (vastus lateralis).</t>
  </si>
  <si>
    <t xml:space="preserve">Fig. 4 p.11; p.15</t>
  </si>
  <si>
    <t xml:space="preserve">G-08</t>
  </si>
  <si>
    <t xml:space="preserve">Concentration</t>
  </si>
  <si>
    <t xml:space="preserve">1 mg/mL (1:1000) recommended for IM injection (allows an appropriate volume).</t>
  </si>
  <si>
    <t xml:space="preserve">Table 6 footnote a, p.12</t>
  </si>
  <si>
    <t xml:space="preserve">G-09</t>
  </si>
  <si>
    <t xml:space="preserve">Dose (healthcare professional)</t>
  </si>
  <si>
    <t xml:space="preserve">0.01 mg/kg body weight, maximum total 0.5 mg IM. Fig. 4: maximum 0.5 mg adult or 0.3 mg child. See Epinephrine_Doses.</t>
  </si>
  <si>
    <t xml:space="preserve">p.15; Table 6 p.12; Fig. 4</t>
  </si>
  <si>
    <t xml:space="preserve">G-10</t>
  </si>
  <si>
    <t xml:space="preserve">Repeat dosing</t>
  </si>
  <si>
    <t xml:space="preserve">Repeat every 5-15 min if symptoms are refractory. Most patients respond to 1 or 2 doses.</t>
  </si>
  <si>
    <t xml:space="preserve">p.15; Fig. 4</t>
  </si>
  <si>
    <t xml:space="preserve">G-11</t>
  </si>
  <si>
    <t xml:space="preserve">Auto-injector technique</t>
  </si>
  <si>
    <t xml:space="preserve">Inject into mid-anterolateral thigh, hold in place about 3-10 s, then call for medical assistance.</t>
  </si>
  <si>
    <t xml:space="preserve">p.16</t>
  </si>
  <si>
    <t xml:space="preserve">G-12</t>
  </si>
  <si>
    <t xml:space="preserve">IV route</t>
  </si>
  <si>
    <t xml:space="preserve">Not recommended for initial treatment (bolus can cause potentially fatal arrhythmias). If used: monitored patients, experienced personnel, preferably infusion via pump; low-dose infusion protocols exist for reactions refractory to IM.</t>
  </si>
  <si>
    <t xml:space="preserve">p.15</t>
  </si>
  <si>
    <t xml:space="preserve">G-13</t>
  </si>
  <si>
    <t xml:space="preserve">Contraindications</t>
  </si>
  <si>
    <t xml:space="preserve">No absolute contraindication to IM epinephrine for anaphylaxis.</t>
  </si>
  <si>
    <t xml:space="preserve">p.20 (Unmet needs)</t>
  </si>
  <si>
    <t xml:space="preserve">G-14</t>
  </si>
  <si>
    <t xml:space="preserve">Positioning</t>
  </si>
  <si>
    <t xml:space="preserve">Patient position</t>
  </si>
  <si>
    <t xml:space="preserve">Most patients supine unless respiratory distress (sitting may optimize breathing). Pregnant: semi-recumbent on the left side. Unconscious: recovery position. Fig. 4 step 6 says to place the patient on the back (or a position of comfort if respiratory distress/vomiting) and elevate the lower extremities, but the text calls the benefit of leg elevation (Trendelenburg) controversial. Fig. 4: fatality can occur within seconds if the patient stands or sits suddenly.</t>
  </si>
  <si>
    <t xml:space="preserve">p.15; Fig. 4 p.11</t>
  </si>
  <si>
    <t xml:space="preserve">G-15</t>
  </si>
  <si>
    <t xml:space="preserve">Oxygen</t>
  </si>
  <si>
    <t xml:space="preserve">High-flow oxygen</t>
  </si>
  <si>
    <t xml:space="preserve">RCUK: give the highest concentration of oxygen possible via a reservoir mask, then titrate to SpO2 94-98% (88-92% if at risk of hypercapnic respiratory failure). WAO Fig. 4: 6-8 L/min by face mask (comparison). EAACI Fig. 1: 10 L/min with a reservoir bag (comparison).</t>
  </si>
  <si>
    <t xml:space="preserve">RCUK 2021 p.31 (default); WAO Fig. 4 p.11; EAACI 2021 Fig. 1 p.364</t>
  </si>
  <si>
    <t xml:space="preserve">G-16</t>
  </si>
  <si>
    <t xml:space="preserve">IV access / fluids</t>
  </si>
  <si>
    <t xml:space="preserve">IV access and fluids</t>
  </si>
  <si>
    <t xml:space="preserve">Wide-bore IV access (14-16 G adult). Crystalloid for cardiovascular instability: text says 20 mL/kg bolus; Fig. 4 says 1-2 L of 0.9% saline (5-10 mL/kg in first 5-10 min adult; 10 mL/kg child). See flag F-03.</t>
  </si>
  <si>
    <t xml:space="preserve">G-17</t>
  </si>
  <si>
    <t xml:space="preserve">Adjuncts</t>
  </si>
  <si>
    <t xml:space="preserve">Inhaled bronchodilator</t>
  </si>
  <si>
    <t xml:space="preserve">Inhaled short-acting beta-2 agonist (salbutamol/albuterol) for bronchoconstriction; NOT an alternative to repeated IM epinephrine while symptoms persist. Nebulized epinephrine for upper airway obstruction.</t>
  </si>
  <si>
    <t xml:space="preserve">p.15-16</t>
  </si>
  <si>
    <t xml:space="preserve">G-18</t>
  </si>
  <si>
    <t xml:space="preserve">Second-line drugs</t>
  </si>
  <si>
    <t xml:space="preserve">Antihistamines</t>
  </si>
  <si>
    <t xml:space="preserve">Limited role; may relieve cutaneous symptoms. Rapid IV chlorphenamine can cause hypotension. Third-line in some guidelines because they can delay repeat IM epinephrine.</t>
  </si>
  <si>
    <t xml:space="preserve">G-19</t>
  </si>
  <si>
    <t xml:space="preserve">Glucocorticoids</t>
  </si>
  <si>
    <t xml:space="preserve">Commonly used to prevent protracted symptoms/biphasic reactions, but increasing evidence of no benefit in acute management and possible harm; routine use controversial.</t>
  </si>
  <si>
    <t xml:space="preserve">G-20</t>
  </si>
  <si>
    <t xml:space="preserve">Glucagon</t>
  </si>
  <si>
    <t xml:space="preserve">May be used if no optimal response to epinephrine, especially in patients on beta-blockers (very limited evidence).</t>
  </si>
  <si>
    <t xml:space="preserve">G-21</t>
  </si>
  <si>
    <t xml:space="preserve">Observation</t>
  </si>
  <si>
    <t xml:space="preserve">Biphasic reactions</t>
  </si>
  <si>
    <t xml:space="preserve">About half of biphasic reactions occur within 6-12 h. Observe, especially after severe reactions or those needing multiple epinephrine doses. No consensus on observation duration.</t>
  </si>
  <si>
    <t xml:space="preserve">p.16; p.20</t>
  </si>
  <si>
    <t xml:space="preserve">G-22</t>
  </si>
  <si>
    <t xml:space="preserve">Diagnostics</t>
  </si>
  <si>
    <t xml:space="preserve">Serum tryptase</t>
  </si>
  <si>
    <t xml:space="preserve">Rises from 15 min to 3 h after onset, peaking at 1-2 h. Normal level does not exclude anaphylaxis. Measure baseline at least 24 h after symptoms resolve.</t>
  </si>
  <si>
    <t xml:space="preserve">p.17</t>
  </si>
  <si>
    <t xml:space="preserve">guideline</t>
  </si>
  <si>
    <t xml:space="preserve">recommended_default</t>
  </si>
  <si>
    <t xml:space="preserve">patient_group</t>
  </si>
  <si>
    <t xml:space="preserve">dose</t>
  </si>
  <si>
    <t xml:space="preserve">concentration</t>
  </si>
  <si>
    <t xml:space="preserve">route_and_prep</t>
  </si>
  <si>
    <t xml:space="preserve">repeat_interval</t>
  </si>
  <si>
    <t xml:space="preserve">note</t>
  </si>
  <si>
    <t xml:space="preserve">RCUK 2021</t>
  </si>
  <si>
    <t xml:space="preserve">Yes</t>
  </si>
  <si>
    <t xml:space="preserve">Adult and child &gt; 12 years</t>
  </si>
  <si>
    <t xml:space="preserve">500 micrograms IM (0.5 mL)</t>
  </si>
  <si>
    <t xml:space="preserve">1 mg/mL (1:1000)</t>
  </si>
  <si>
    <t xml:space="preserve">IM, ampoule + syringe (preferred in healthcare settings over auto-injector)</t>
  </si>
  <si>
    <t xml:space="preserve">Repeat after 5 min if no improvement</t>
  </si>
  <si>
    <t xml:space="preserve">RCUK 2021 p.29</t>
  </si>
  <si>
    <t xml:space="preserve">Give 300 micrograms (0.3 mL) if the child is small or prepubertal</t>
  </si>
  <si>
    <t xml:space="preserve">6-12 years</t>
  </si>
  <si>
    <t xml:space="preserve">300 micrograms IM (0.3 mL)</t>
  </si>
  <si>
    <t xml:space="preserve">IM, ampoule + syringe</t>
  </si>
  <si>
    <t xml:space="preserve">6 months - 6 years</t>
  </si>
  <si>
    <t xml:space="preserve">150 micrograms IM (0.15 mL)</t>
  </si>
  <si>
    <t xml:space="preserve">Under 6 months</t>
  </si>
  <si>
    <t xml:space="preserve">100-150 micrograms IM (0.1-0.15 mL)</t>
  </si>
  <si>
    <t xml:space="preserve">First guideline to give a specific dose for this age band</t>
  </si>
  <si>
    <t xml:space="preserve">WAO 2020</t>
  </si>
  <si>
    <t xml:space="preserve">No (superseded by RCUK default above)</t>
  </si>
  <si>
    <t xml:space="preserve">General rule (weight-based)</t>
  </si>
  <si>
    <t xml:space="preserve">0.01 mg/kg, max 0.5 mg</t>
  </si>
  <si>
    <t xml:space="preserve">IM, mid-anterolateral thigh</t>
  </si>
  <si>
    <t xml:space="preserve">Repeat every 5-15 min if refractory</t>
  </si>
  <si>
    <t xml:space="preserve">WAO p.15; Table 6 p.12</t>
  </si>
  <si>
    <t xml:space="preserve">Wider repeat window (5-15 min) than RCUK's fixed 5 min; see Repeat_Interval_Comparison</t>
  </si>
  <si>
    <t xml:space="preserve">No</t>
  </si>
  <si>
    <t xml:space="preserve">Infant under 10 kg</t>
  </si>
  <si>
    <t xml:space="preserve">0.01 mg/kg</t>
  </si>
  <si>
    <t xml:space="preserve">WAO Table 6 p.12</t>
  </si>
  <si>
    <t xml:space="preserve">Child 1-5 years</t>
  </si>
  <si>
    <t xml:space="preserve">0.15 mg (0.15 mL)</t>
  </si>
  <si>
    <t xml:space="preserve">Same fixed dose as RCUK's 6mo-6y band</t>
  </si>
  <si>
    <t xml:space="preserve">Child 6-12 years</t>
  </si>
  <si>
    <t xml:space="preserve">0.3 mg (0.3 mL)</t>
  </si>
  <si>
    <t xml:space="preserve">Matches RCUK's 6-12y dose</t>
  </si>
  <si>
    <t xml:space="preserve">Teenager / adult</t>
  </si>
  <si>
    <t xml:space="preserve">0.5 mg (0.5 mL)</t>
  </si>
  <si>
    <t xml:space="preserve">Matches RCUK's adult/&gt;12y dose</t>
  </si>
  <si>
    <t xml:space="preserve">EAACI 2021</t>
  </si>
  <si>
    <t xml:space="preserve">No (RCUK remains the workbook default)</t>
  </si>
  <si>
    <t xml:space="preserve">Children 7.5-25/30 kg (auto-injector)</t>
  </si>
  <si>
    <t xml:space="preserve">0.15 mg auto-injector</t>
  </si>
  <si>
    <t xml:space="preserve">N/A (fixed-dose device)</t>
  </si>
  <si>
    <t xml:space="preserve">IM, auto-injector or ampoule + syringe (EAACI Fig. 1 treatment algorithm, p.364, uses the same doses for healthcare treatment)</t>
  </si>
  <si>
    <t xml:space="preserve">Repeat per device label</t>
  </si>
  <si>
    <t xml:space="preserve">EAACI p.364-365</t>
  </si>
  <si>
    <t xml:space="preserve">This dose is also used for healthcare-provider treatment, not only for auto-injector prescribing (EAACI Fig. 1 p.364); matches the RCUK 6mo-6y/6-12y bands.</t>
  </si>
  <si>
    <t xml:space="preserve">Children over 25-30 kg (auto-injector)</t>
  </si>
  <si>
    <t xml:space="preserve">0.3 mg auto-injector</t>
  </si>
  <si>
    <t xml:space="preserve">IM, auto-injector or ampoule + syringe (EAACI Fig. 1 treatment algorithm, p.364)</t>
  </si>
  <si>
    <t xml:space="preserve">Also an EAACI healthcare-provider treatment dose (Fig. 1 p.364), not only an auto-injector band; matches the RCUK adult/&gt;12y and 6-12y bands.</t>
  </si>
  <si>
    <t xml:space="preserve">Adolescents and adults at risk (auto-injector)</t>
  </si>
  <si>
    <t xml:space="preserve">At least 0.3 mg auto-injector</t>
  </si>
  <si>
    <t xml:space="preserve">EAACI Fig. 1 p.364 also allows this as a treatment dose, and p.365 states the general healthcare-setting IM dose is 0.01 mg/kg, with 0.5 mg or a repeated 0.3 mg considered in severe reactions (0.5 mg device considered if overweight or previous life-threatening reaction, EAACI p.365).</t>
  </si>
  <si>
    <t xml:space="preserve">General rule (weight-based), healthcare setting</t>
  </si>
  <si>
    <t xml:space="preserve">0.01 mg/kg IM; 0.5 mg or a repeated 0.3 mg may be considered in severe reactions</t>
  </si>
  <si>
    <t xml:space="preserve">Not specified for the ampoule route in EAACI</t>
  </si>
  <si>
    <t xml:space="preserve">EAACI 2021 p.365</t>
  </si>
  <si>
    <t xml:space="preserve">Confirms EAACI treatment dosing is not limited to auto-injector prescribing.</t>
  </si>
  <si>
    <t xml:space="preserve">state_id</t>
  </si>
  <si>
    <t xml:space="preserve">state_name</t>
  </si>
  <si>
    <t xml:space="preserve">wao_table7_grade</t>
  </si>
  <si>
    <t xml:space="preserve">wao_basis</t>
  </si>
  <si>
    <t xml:space="preserve">entry_requirement</t>
  </si>
  <si>
    <t xml:space="preserve">vitals_from_WAO</t>
  </si>
  <si>
    <t xml:space="preserve">vitals_other</t>
  </si>
  <si>
    <t xml:space="preserve">on_correct</t>
  </si>
  <si>
    <t xml:space="preserve">on_timer_expiry_or_no_action</t>
  </si>
  <si>
    <t xml:space="preserve">source_note</t>
  </si>
  <si>
    <t xml:space="preserve">Early Reaction</t>
  </si>
  <si>
    <t xml:space="preserve">Table 7 grade 3 (mild bronchospasm and/or GI) AND Table 2 criterion 1 met. Table 7 lists grade 3 under ANAPHYLAXIS, but the p.17 text says only some grade 3 reactions fit the definition, so this state is the subset meeting criterion 1.</t>
  </si>
  <si>
    <t xml:space="preserve">Skin/mucosal component AND at least one qualifier (mild wheeze/shortness of breath, or severe/repetitive GI). See State_Symptoms criterion1_role. No-skin variant: Table 2 criterion 2 (skin signs absent in 10-20%, G-03).</t>
  </si>
  <si>
    <t xml:space="preserve">SBP stays above the hypotension threshold (G-04 to G-06)</t>
  </si>
  <si>
    <t xml:space="preserve">HR/RR/SpO2 not given by WAO; use MIMIC-IV-ED</t>
  </si>
  <si>
    <t xml:space="preserve">stable</t>
  </si>
  <si>
    <t xml:space="preserve">Table 2 p.5; Table 7 pp.13-14; Fig. 4</t>
  </si>
  <si>
    <t xml:space="preserve">Airway Compromise</t>
  </si>
  <si>
    <t xml:space="preserve">Table 7 grade 4: severe bronchospasm not responding or worsening despite treatment, and/or laryngeal edema with stridor.</t>
  </si>
  <si>
    <t xml:space="preserve">Stridor, voice change or painful swallowing, or severe bronchospasm. May also carry all early_reaction symptoms.</t>
  </si>
  <si>
    <t xml:space="preserve">Hypoxemia is a criterion but no SpO2 cut-off is given; SBP stays above hypotension threshold</t>
  </si>
  <si>
    <t xml:space="preserve">Use MIMIC-IV-ED for HR/RR/SpO2</t>
  </si>
  <si>
    <t xml:space="preserve">Cardiovascular Collapse</t>
  </si>
  <si>
    <t xml:space="preserve">Table 7 grade 5: respiratory failure and/or cardiovascular collapse/hypotension and/or loss of consciousness (vasovagal excluded).</t>
  </si>
  <si>
    <t xml:space="preserve">Hypotension per G-04 to G-06, or collapse/loss of consciousness, or respiratory failure.</t>
  </si>
  <si>
    <t xml:space="preserve">Hypotension per G-04 to G-06 (adult SBP &lt; 90 or &gt;30% fall from baseline)</t>
  </si>
  <si>
    <t xml:space="preserve">Use MIMIC-IV-ED. PEA/arrest rhythm is your design choice; WAO only says CPR with continuous compressions 'where indicated'</t>
  </si>
  <si>
    <t xml:space="preserve">scenario_end (design choice, see F-02)</t>
  </si>
  <si>
    <t xml:space="preserve">Table 7 pp.13-14; p.15</t>
  </si>
  <si>
    <t xml:space="preserve">Stable</t>
  </si>
  <si>
    <t xml:space="preserve">not defined by WAO</t>
  </si>
  <si>
    <t xml:space="preserve">Response to epinephrine (most respond to 1-2 doses). WAO does not define a 'stable' state.</t>
  </si>
  <si>
    <t xml:space="preserve">Symptoms resolving after treatment</t>
  </si>
  <si>
    <t xml:space="preserve">None defined</t>
  </si>
  <si>
    <t xml:space="preserve">Vitals trend back gradually; not instantaneous</t>
  </si>
  <si>
    <t xml:space="preserve">(terminal)</t>
  </si>
  <si>
    <t xml:space="preserve">Fig. 4; Post_Stable_Brain3 sheet</t>
  </si>
  <si>
    <t xml:space="preserve">symptom_id</t>
  </si>
  <si>
    <t xml:space="preserve">symptom</t>
  </si>
  <si>
    <t xml:space="preserve">status</t>
  </si>
  <si>
    <t xml:space="preserve">modality</t>
  </si>
  <si>
    <t xml:space="preserve">patient_can_report</t>
  </si>
  <si>
    <t xml:space="preserve">trainee_can_observe</t>
  </si>
  <si>
    <t xml:space="preserve">applies_to</t>
  </si>
  <si>
    <t xml:space="preserve">organ_system</t>
  </si>
  <si>
    <t xml:space="preserve">criterion1_role</t>
  </si>
  <si>
    <t xml:space="preserve">inherited_from_earlier_state</t>
  </si>
  <si>
    <t xml:space="preserve">evidence_level</t>
  </si>
  <si>
    <t xml:space="preserve">SYM-001</t>
  </si>
  <si>
    <t xml:space="preserve">itchy skin</t>
  </si>
  <si>
    <t xml:space="preserve">allowed</t>
  </si>
  <si>
    <t xml:space="preserve">subjective</t>
  </si>
  <si>
    <t xml:space="preserve">Yes (full sentences)</t>
  </si>
  <si>
    <t xml:space="preserve">No (only if patient reports it)</t>
  </si>
  <si>
    <t xml:space="preserve">all</t>
  </si>
  <si>
    <t xml:space="preserve">Cutaneous</t>
  </si>
  <si>
    <t xml:space="preserve">skin/mucosal component</t>
  </si>
  <si>
    <t xml:space="preserve">Direct</t>
  </si>
  <si>
    <t xml:space="preserve">Table 2 (pruritus); Table 7 grade 1</t>
  </si>
  <si>
    <t xml:space="preserve">SYM-002</t>
  </si>
  <si>
    <t xml:space="preserve">hives</t>
  </si>
  <si>
    <t xml:space="preserve">observed</t>
  </si>
  <si>
    <t xml:space="preserve">not needed (observed)</t>
  </si>
  <si>
    <t xml:space="preserve">Table 2; Table 7 grade 1 (urticaria)</t>
  </si>
  <si>
    <t xml:space="preserve">SYM-003</t>
  </si>
  <si>
    <t xml:space="preserve">flushing</t>
  </si>
  <si>
    <t xml:space="preserve">Table 2; Table 7 grade 1 (erythema-warmth)</t>
  </si>
  <si>
    <t xml:space="preserve">SYM-004</t>
  </si>
  <si>
    <t xml:space="preserve">sense of heat</t>
  </si>
  <si>
    <t xml:space="preserve">not graded</t>
  </si>
  <si>
    <t xml:space="preserve">supporting</t>
  </si>
  <si>
    <t xml:space="preserve">p.16 recognition symptoms</t>
  </si>
  <si>
    <t xml:space="preserve">SYM-005</t>
  </si>
  <si>
    <t xml:space="preserve">tingling/itching of lips or extremities</t>
  </si>
  <si>
    <t xml:space="preserve">Table 7 grade 1 (lips); p.16 (extremities)</t>
  </si>
  <si>
    <t xml:space="preserve">SYM-006</t>
  </si>
  <si>
    <t xml:space="preserve">swollen lips/tongue (non-laryngeal)</t>
  </si>
  <si>
    <t xml:space="preserve">Table 2; Table 7 grade 1 (angioedema, not laryngeal)</t>
  </si>
  <si>
    <t xml:space="preserve">SYM-007</t>
  </si>
  <si>
    <t xml:space="preserve">sneezing, runny or blocked nose</t>
  </si>
  <si>
    <t xml:space="preserve">both</t>
  </si>
  <si>
    <t xml:space="preserve">Upper respiratory</t>
  </si>
  <si>
    <t xml:space="preserve">Table 7 grade 1 (nasal symptoms)</t>
  </si>
  <si>
    <t xml:space="preserve">SYM-008</t>
  </si>
  <si>
    <t xml:space="preserve">itchy watery eyes</t>
  </si>
  <si>
    <t xml:space="preserve">Conjunctival</t>
  </si>
  <si>
    <t xml:space="preserve">Table 7 grade 1</t>
  </si>
  <si>
    <t xml:space="preserve">SYM-009</t>
  </si>
  <si>
    <t xml:space="preserve">throat clearing</t>
  </si>
  <si>
    <t xml:space="preserve">Table 7 grade 1 (itchy throat)</t>
  </si>
  <si>
    <t xml:space="preserve">SYM-010</t>
  </si>
  <si>
    <t xml:space="preserve">cough</t>
  </si>
  <si>
    <t xml:space="preserve">Table 7 grade 1 (cough not related to bronchospasm)</t>
  </si>
  <si>
    <t xml:space="preserve">SYM-011</t>
  </si>
  <si>
    <t xml:space="preserve">mild wheeze or shortness of breath</t>
  </si>
  <si>
    <t xml:space="preserve">Lower respiratory</t>
  </si>
  <si>
    <t xml:space="preserve">qualifier: respiratory compromise</t>
  </si>
  <si>
    <t xml:space="preserve">Table 2 (a); Table 7 grade 3 (mild bronchospasm, responds to treatment)</t>
  </si>
  <si>
    <t xml:space="preserve">SYM-012</t>
  </si>
  <si>
    <t xml:space="preserve">nausea</t>
  </si>
  <si>
    <t xml:space="preserve">Gastrointestinal</t>
  </si>
  <si>
    <t xml:space="preserve">Table 7 grade 1 (other)</t>
  </si>
  <si>
    <t xml:space="preserve">SYM-013</t>
  </si>
  <si>
    <t xml:space="preserve">metallic taste</t>
  </si>
  <si>
    <t xml:space="preserve">SYM-014</t>
  </si>
  <si>
    <t xml:space="preserve">abdominal cramps</t>
  </si>
  <si>
    <t xml:space="preserve">qualifier: severe GI (only if severe)</t>
  </si>
  <si>
    <t xml:space="preserve">Table 2 (c); Table 7 grade 3</t>
  </si>
  <si>
    <t xml:space="preserve">SYM-015</t>
  </si>
  <si>
    <t xml:space="preserve">vomiting or diarrhea</t>
  </si>
  <si>
    <t xml:space="preserve">qualifier: severe GI (only if repetitive)</t>
  </si>
  <si>
    <t xml:space="preserve">SYM-016</t>
  </si>
  <si>
    <t xml:space="preserve">uterine cramps (female patients)</t>
  </si>
  <si>
    <t xml:space="preserve">female patients only</t>
  </si>
  <si>
    <t xml:space="preserve">Other</t>
  </si>
  <si>
    <t xml:space="preserve">Table 7 p.13 (grade 3, 'Other')</t>
  </si>
  <si>
    <t xml:space="preserve">Use only for female patients.</t>
  </si>
  <si>
    <t xml:space="preserve">SYM-017</t>
  </si>
  <si>
    <t xml:space="preserve">dizziness</t>
  </si>
  <si>
    <t xml:space="preserve">Neurological/CV</t>
  </si>
  <si>
    <t xml:space="preserve">SYM-018</t>
  </si>
  <si>
    <t xml:space="preserve">stridor</t>
  </si>
  <si>
    <t xml:space="preserve">forbidden</t>
  </si>
  <si>
    <t xml:space="preserve">Upper airway</t>
  </si>
  <si>
    <t xml:space="preserve">Table 2; Table 7 grade 4 (laryngeal edema with stridor)</t>
  </si>
  <si>
    <t xml:space="preserve">SYM-019</t>
  </si>
  <si>
    <t xml:space="preserve">hoarse/changed voice</t>
  </si>
  <si>
    <t xml:space="preserve">Table 2 footnote c (vocal changes)</t>
  </si>
  <si>
    <t xml:space="preserve">SYM-020</t>
  </si>
  <si>
    <t xml:space="preserve">painful swallowing</t>
  </si>
  <si>
    <t xml:space="preserve">Table 2 footnote c (odynophagia)</t>
  </si>
  <si>
    <t xml:space="preserve">SYM-021</t>
  </si>
  <si>
    <t xml:space="preserve">throat or tongue tightness</t>
  </si>
  <si>
    <t xml:space="preserve">Derived</t>
  </si>
  <si>
    <t xml:space="preserve">Patient-language rendering of laryngeal involvement (F-08)</t>
  </si>
  <si>
    <t xml:space="preserve">SYM-022</t>
  </si>
  <si>
    <t xml:space="preserve">marked shortness of breath</t>
  </si>
  <si>
    <t xml:space="preserve">Patient-language rendering of severe bronchospasm, Table 7 grade 4 (F-08)</t>
  </si>
  <si>
    <t xml:space="preserve">SYM-023</t>
  </si>
  <si>
    <t xml:space="preserve">wheeze not improving with treatment</t>
  </si>
  <si>
    <t xml:space="preserve">Table 7 grade 4 (not responding or worsening)</t>
  </si>
  <si>
    <t xml:space="preserve">SYM-024</t>
  </si>
  <si>
    <t xml:space="preserve">drooling (paediatric variant)</t>
  </si>
  <si>
    <t xml:space="preserve">paediatric variant only</t>
  </si>
  <si>
    <t xml:space="preserve">p.17: drooling may apply in paediatric setting</t>
  </si>
  <si>
    <t xml:space="preserve">SYM-025</t>
  </si>
  <si>
    <t xml:space="preserve">collapse/limpness (hypotonia)</t>
  </si>
  <si>
    <t xml:space="preserve">Cardiovascular</t>
  </si>
  <si>
    <t xml:space="preserve">Table 2 (b); Table 7 grade 5</t>
  </si>
  <si>
    <t xml:space="preserve">SYM-026</t>
  </si>
  <si>
    <t xml:space="preserve">fainting (syncope)</t>
  </si>
  <si>
    <t xml:space="preserve">Table 2 (b)</t>
  </si>
  <si>
    <t xml:space="preserve">SYM-027</t>
  </si>
  <si>
    <t xml:space="preserve">loss of consciousness</t>
  </si>
  <si>
    <t xml:space="preserve">Neurological</t>
  </si>
  <si>
    <t xml:space="preserve">Table 7 grade 5 (vasovagal excluded)</t>
  </si>
  <si>
    <t xml:space="preserve">SYM-028</t>
  </si>
  <si>
    <t xml:space="preserve">incontinence</t>
  </si>
  <si>
    <t xml:space="preserve">SYM-029</t>
  </si>
  <si>
    <t xml:space="preserve">respiratory failure</t>
  </si>
  <si>
    <t xml:space="preserve">Table 7 grade 5</t>
  </si>
  <si>
    <t xml:space="preserve">SYM-030</t>
  </si>
  <si>
    <t xml:space="preserve">hypotension (vital sign, not patient-spoken)</t>
  </si>
  <si>
    <t xml:space="preserve">measured</t>
  </si>
  <si>
    <t xml:space="preserve">Table 2 footnote a; Table 7 grade 5</t>
  </si>
  <si>
    <t xml:space="preserve">Limited (short phrases)</t>
  </si>
  <si>
    <t xml:space="preserve">superseded</t>
  </si>
  <si>
    <t xml:space="preserve">Same organ (lower airway) as SYM-022 / SYM-023: grade 3 'responds to treatment' is replaced by grade 4 'not responding'. Do not mention mild wheeze here (F-13).</t>
  </si>
  <si>
    <t xml:space="preserve">qualifier: laryngeal involvement</t>
  </si>
  <si>
    <t xml:space="preserve">Use only in a paediatric variant (WAO p.17).</t>
  </si>
  <si>
    <t xml:space="preserve">Conscious variant only (whisper / single words)</t>
  </si>
  <si>
    <t xml:space="preserve">qualifier: reduced BP / end-organ</t>
  </si>
  <si>
    <t xml:space="preserve">not needed (measured)</t>
  </si>
  <si>
    <t xml:space="preserve">Yes (monitor)</t>
  </si>
  <si>
    <t xml:space="preserve">Measured value; the patient never says it. Compute with Calculators (baseline SBP needed).</t>
  </si>
  <si>
    <t xml:space="preserve">first_state</t>
  </si>
  <si>
    <t xml:space="preserve">superseded_by</t>
  </si>
  <si>
    <t xml:space="preserve">modality_evidence</t>
  </si>
  <si>
    <t xml:space="preserve">Derived: clinical convention (F-12)</t>
  </si>
  <si>
    <t xml:space="preserve">SYM-022 (marked shortness of breath); SYM-023 (wheeze not improving with treatment)</t>
  </si>
  <si>
    <t xml:space="preserve">SYM-031</t>
  </si>
  <si>
    <t xml:space="preserve">cyanosis</t>
  </si>
  <si>
    <t xml:space="preserve">Derived: not in WAO; added from RCUK/EAACI (F-18)</t>
  </si>
  <si>
    <t xml:space="preserve">RCUK p.21, Fig. 6 p.25 (central cyanosis); EAACI Fig. 1 p.364</t>
  </si>
  <si>
    <t xml:space="preserve">Added per F-18 resolution (25 Sep 2026)</t>
  </si>
  <si>
    <t xml:space="preserve">SYM-032</t>
  </si>
  <si>
    <t xml:space="preserve">increased work of breathing</t>
  </si>
  <si>
    <t xml:space="preserve">RCUK p.21, Fig. 6 p.25 (increased work of breathing, fatigue)</t>
  </si>
  <si>
    <t xml:space="preserve">SYM-033</t>
  </si>
  <si>
    <t xml:space="preserve">pale, clammy skin</t>
  </si>
  <si>
    <t xml:space="preserve">RCUK p.21, Fig. 6 p.25 (pale, clammy skin); EAACI Fig. 1 p.364</t>
  </si>
  <si>
    <t xml:space="preserve">SYM-034</t>
  </si>
  <si>
    <t xml:space="preserve">tachycardia</t>
  </si>
  <si>
    <t xml:space="preserve">RCUK p.21, Fig. 6 p.25 (significant tachycardia); EAACI Fig. 1 p.364</t>
  </si>
  <si>
    <t xml:space="preserve">variant</t>
  </si>
  <si>
    <t xml:space="preserve">consciousness</t>
  </si>
  <si>
    <t xml:space="preserve">can_speak</t>
  </si>
  <si>
    <t xml:space="preserve">speech_pattern</t>
  </si>
  <si>
    <t xml:space="preserve">basis</t>
  </si>
  <si>
    <t xml:space="preserve">default</t>
  </si>
  <si>
    <t xml:space="preserve">Alert (grade 3 has no collapse, hypotension or loss of consciousness)</t>
  </si>
  <si>
    <t xml:space="preserve">Full sentences</t>
  </si>
  <si>
    <t xml:space="preserve">Table 7 p.13: grade 3 = mild bronchospasm and/or GI; respiratory failure, collapse/hypotension and LOC start at grade 5.</t>
  </si>
  <si>
    <t xml:space="preserve">Speech wording is a clinical-convention rendering, confirm with expert (F-11).</t>
  </si>
  <si>
    <t xml:space="preserve">Alert (loss of consciousness is a grade 5 feature)</t>
  </si>
  <si>
    <t xml:space="preserve">Limited</t>
  </si>
  <si>
    <t xml:space="preserve">Short phrases; pauses to breathe; voice may be hoarse or changed</t>
  </si>
  <si>
    <t xml:space="preserve">Table 7 p.13 grade 4 (severe bronchospasm / laryngeal edema with stridor); vocal changes and painful swallowing: Table 2 footnote c p.5. 'Short phrases' is standard clinical assessment, not WAO wording.</t>
  </si>
  <si>
    <t xml:space="preserve">Confirm with expert (F-11).</t>
  </si>
  <si>
    <t xml:space="preserve">conscious_hypotensive</t>
  </si>
  <si>
    <t xml:space="preserve">Conscious but collapsing (grade 5 wording is 'and/or', so collapse/hypotension can occur without loss of consciousness)</t>
  </si>
  <si>
    <t xml:space="preserve">Minimal</t>
  </si>
  <si>
    <t xml:space="preserve">Whisper or single words; cannot describe several symptoms</t>
  </si>
  <si>
    <t xml:space="preserve">Table 7 p.13-14 grade 5: 'respiratory failure and/or collapse/hypotension and/or loss of consciousness'.</t>
  </si>
  <si>
    <t xml:space="preserve">Keep spoken complaints minimal and rely on observed signs and monitor values. Expert to confirm which early symptoms persist here (F-11).</t>
  </si>
  <si>
    <t xml:space="preserve">unconscious</t>
  </si>
  <si>
    <t xml:space="preserve">Loss of consciousness (vasovagal excluded)</t>
  </si>
  <si>
    <t xml:space="preserve">No speech. Only observed signs and monitor values are available to the trainee.</t>
  </si>
  <si>
    <t xml:space="preserve">Table 7 p.14 grade 5.</t>
  </si>
  <si>
    <t xml:space="preserve">Choose the collapse variant when the scenario is created (or when Brain 1 enters the state). Both variants share the same FSM state and transitions.</t>
  </si>
  <si>
    <t xml:space="preserve">Alert</t>
  </si>
  <si>
    <t xml:space="preserve">Full sentences; symptoms settling gradually</t>
  </si>
  <si>
    <t xml:space="preserve">WAO does not define a stable state. FSM doc: vitals recover over the post-epinephrine window, not instantly.</t>
  </si>
  <si>
    <t xml:space="preserve">Terminal state.</t>
  </si>
  <si>
    <t xml:space="preserve">action_id</t>
  </si>
  <si>
    <t xml:space="preserve">action</t>
  </si>
  <si>
    <t xml:space="preserve">notes</t>
  </si>
  <si>
    <t xml:space="preserve">ANA-001</t>
  </si>
  <si>
    <t xml:space="preserve">Remove/stop trigger if possible (e.g., stop IV drug or agent)</t>
  </si>
  <si>
    <t xml:space="preserve">Supportive</t>
  </si>
  <si>
    <t xml:space="preserve">Fig. 4 step 2</t>
  </si>
  <si>
    <t xml:space="preserve">ANA-002</t>
  </si>
  <si>
    <t xml:space="preserve">Assess airway, breathing, circulation, mental status, skin, weight</t>
  </si>
  <si>
    <t xml:space="preserve">Fig. 4 step 3</t>
  </si>
  <si>
    <t xml:space="preserve">ANA-003</t>
  </si>
  <si>
    <t xml:space="preserve">Call for help (resuscitation team / emergency services)</t>
  </si>
  <si>
    <t xml:space="preserve">Fig. 4 step 4</t>
  </si>
  <si>
    <t xml:space="preserve">ANA-004</t>
  </si>
  <si>
    <t xml:space="preserve">IM epinephrine (adrenaline), mid-anterolateral thigh</t>
  </si>
  <si>
    <t xml:space="preserve">Definitive</t>
  </si>
  <si>
    <t xml:space="preserve">0.01 mg/kg, max 0.5 mg (child 0.3 mg per Fig. 4); repeat every 5-15 min if symptoms persist. See Epinephrine_Doses / Calculators.</t>
  </si>
  <si>
    <t xml:space="preserve">Fig. 4 step 5; Table 6; p.15</t>
  </si>
  <si>
    <t xml:space="preserve">ANA-006</t>
  </si>
  <si>
    <t xml:space="preserve">Position patient (supine; comfort position if respiratory distress/vomiting)</t>
  </si>
  <si>
    <t xml:space="preserve">Pregnant: semi-recumbent on left side; unconscious: recovery position. Leg elevation is in Fig. 4 but called controversial in the text.</t>
  </si>
  <si>
    <t xml:space="preserve">Fig. 4 step 6; p.15</t>
  </si>
  <si>
    <t xml:space="preserve">ANA-007</t>
  </si>
  <si>
    <t xml:space="preserve">High-flow oxygen, preferably 100% via non-rebreather mask</t>
  </si>
  <si>
    <t xml:space="preserve">RCUK: highest concentration possible via a reservoir mask, titrate to SpO2 94-98% (88-92% if at risk of hypercapnic respiratory failure). WAO Fig. 4: 6-8 L/min by face mask (comparison). EAACI: 10 L/min with a reservoir bag (comparison).</t>
  </si>
  <si>
    <t xml:space="preserve">RCUK 2021 p.31 (default); Fig. 4 step 7 p.11; EAACI 2021 Fig. 1 p.364</t>
  </si>
  <si>
    <t xml:space="preserve">ANA-008</t>
  </si>
  <si>
    <t xml:space="preserve">Establish IV access with wide-bore cannula (14-16 G adult)</t>
  </si>
  <si>
    <t xml:space="preserve">Fig. 4 step 8</t>
  </si>
  <si>
    <t xml:space="preserve">ANA-009</t>
  </si>
  <si>
    <t xml:space="preserve">IV crystalloid fluids for cardiovascular instability</t>
  </si>
  <si>
    <t xml:space="preserve">Dose discrepancy in paper: 20 mL/kg (text) vs 1-2 L / 5-10 mL/kg (Fig. 4). See F-03.</t>
  </si>
  <si>
    <t xml:space="preserve">ANA-010</t>
  </si>
  <si>
    <t xml:space="preserve">Monitor BP, HR, respiratory status, oxygenation, mental status</t>
  </si>
  <si>
    <t xml:space="preserve">Continuous monitoring if possible</t>
  </si>
  <si>
    <t xml:space="preserve">Fig. 4 step 10; p.16</t>
  </si>
  <si>
    <t xml:space="preserve">ANA-011</t>
  </si>
  <si>
    <t xml:space="preserve">Inhaled short-acting beta-2 agonist (salbutamol/albuterol)</t>
  </si>
  <si>
    <t xml:space="preserve">Adjunct</t>
  </si>
  <si>
    <t xml:space="preserve">Adjunct only; never a substitute for repeat IM epinephrine</t>
  </si>
  <si>
    <t xml:space="preserve">ANA-012</t>
  </si>
  <si>
    <t xml:space="preserve">Nebulized epinephrine for upper airway obstruction</t>
  </si>
  <si>
    <t xml:space="preserve">Upper airway obstruction only</t>
  </si>
  <si>
    <t xml:space="preserve">ANA-013</t>
  </si>
  <si>
    <t xml:space="preserve">CPR with continuous chest compressions</t>
  </si>
  <si>
    <t xml:space="preserve">Advanced (conditional)</t>
  </si>
  <si>
    <t xml:space="preserve">Only if patient is arrested</t>
  </si>
  <si>
    <t xml:space="preserve">Fig. 4 step 9; p.15</t>
  </si>
  <si>
    <t xml:space="preserve">ANA-014</t>
  </si>
  <si>
    <t xml:space="preserve">IV epinephrine infusion via infusion pump</t>
  </si>
  <si>
    <t xml:space="preserve">Only if refractory to IM; monitored patient; experienced personnel</t>
  </si>
  <si>
    <t xml:space="preserve">ANA-015</t>
  </si>
  <si>
    <t xml:space="preserve">Parenteral glucagon</t>
  </si>
  <si>
    <t xml:space="preserve">Poor response to epinephrine, especially with beta-blockers; very limited evidence</t>
  </si>
  <si>
    <t xml:space="preserve">ANA-016</t>
  </si>
  <si>
    <t xml:space="preserve">H1-antihistamine</t>
  </si>
  <si>
    <t xml:space="preserve">Second-line (neutral)</t>
  </si>
  <si>
    <t xml:space="preserve">Relieves cutaneous symptoms only; limited role; earns no transition</t>
  </si>
  <si>
    <t xml:space="preserve">ANA-017</t>
  </si>
  <si>
    <t xml:space="preserve">Glucocorticoid</t>
  </si>
  <si>
    <t xml:space="preserve">Benefit doubtful in acute phase; routine use controversial; earns no transition</t>
  </si>
  <si>
    <t xml:space="preserve">ANA-018</t>
  </si>
  <si>
    <t xml:space="preserve">Take blood sample for mast cell tryptase</t>
  </si>
  <si>
    <t xml:space="preserve">As soon as feasible; must not delay adrenaline or other treatment. Second sample 1-2 h (no later than 4 h) after onset; baseline sample at least 24 h after resolution (see Post_Stable_Brain3 PS-07).</t>
  </si>
  <si>
    <t xml:space="preserve">RCUK 2021 p.36 (Fig. 7), pp.40-41; EAACI 2021 p.361</t>
  </si>
  <si>
    <t xml:space="preserve">id</t>
  </si>
  <si>
    <t xml:space="preserve">applies_in_states</t>
  </si>
  <si>
    <t xml:space="preserve">basis_type</t>
  </si>
  <si>
    <t xml:space="preserve">paper_evidence</t>
  </si>
  <si>
    <t xml:space="preserve">condition_note</t>
  </si>
  <si>
    <t xml:space="preserve">time_penalty_seconds</t>
  </si>
  <si>
    <t xml:space="preserve">guideline_support (RCUK 2021 / EAACI 2021, read)</t>
  </si>
  <si>
    <t xml:space="preserve">C-01</t>
  </si>
  <si>
    <t xml:space="preserve">IV epinephrine bolus as initial treatment</t>
  </si>
  <si>
    <t xml:space="preserve">early_reaction; airway_compromise; cardiovascular_collapse</t>
  </si>
  <si>
    <t xml:space="preserve">Explicit</t>
  </si>
  <si>
    <t xml:space="preserve">Bolus IV epinephrine can cause potentially fatal arrhythmias; IV route not recommended for initial treatment</t>
  </si>
  <si>
    <t xml:space="preserve">None</t>
  </si>
  <si>
    <t xml:space="preserve">RCUK pp.7, 30, 37, Appendix 3 p.57: IV adrenaline only by experienced specialists; undiluted 1:1000 must not be given IV. IV bolus is not recommended except in cardiac arrest, or by experienced specialists while an infusion is set up (p.37), so C-01 applies to non-specialist trainees. EAACI pp.362-363.</t>
  </si>
  <si>
    <t xml:space="preserve">C-02</t>
  </si>
  <si>
    <t xml:space="preserve">Rapid IV first-generation antihistamine (e.g., chlorphenamine)</t>
  </si>
  <si>
    <t xml:space="preserve">airway_compromise; cardiovascular_collapse</t>
  </si>
  <si>
    <t xml:space="preserve">Rapid IV chlorphenamine can cause hypotension</t>
  </si>
  <si>
    <t xml:space="preserve">RCUK p.32: H1-antihistamines can cause hypotension when given as a rapid IV bolus (Ellis &amp; Brown 2013, RCUK ref. 70). No second guideline statement found in RCUK/EAACI.</t>
  </si>
  <si>
    <t xml:space="preserve">C-03</t>
  </si>
  <si>
    <t xml:space="preserve">Using antihistamine, steroid or bronchodilator INSTEAD of (or delaying) IM epinephrine</t>
  </si>
  <si>
    <t xml:space="preserve">Explicit (RCUK 2021); derived in WAO</t>
  </si>
  <si>
    <t xml:space="preserve">Bronchodilators are not an alternative to repeat IM epinephrine; antihistamines can delay urgent measures</t>
  </si>
  <si>
    <t xml:space="preserve">Penalise the substitution/delay, not the adjunct itself when epinephrine is also given</t>
  </si>
  <si>
    <t xml:space="preserve">RCUK p.32: antihistamines are not recommended in initial treatment, must not be given in preference to adrenaline, and their use often delays adrenaline. p.33: steroids must not be given preferentially to adrenaline; bronchodilators must not replace further parenteral adrenaline. p.30: nebulised adrenaline is an adjunct, not an alternative. EAACI p.365 and Fig. 1 p.364: antihistamines and steroids only after stabilisation.</t>
  </si>
  <si>
    <t xml:space="preserve">C-04</t>
  </si>
  <si>
    <t xml:space="preserve">Letting the patient stand or sit up suddenly</t>
  </si>
  <si>
    <t xml:space="preserve">Fatality can occur within seconds if patient stands or sits suddenly</t>
  </si>
  <si>
    <t xml:space="preserve">Apply only when the patient is NOT in respiratory distress (F-09)</t>
  </si>
  <si>
    <t xml:space="preserve">Fig. 4 step 6, p.11</t>
  </si>
  <si>
    <t xml:space="preserve">RCUK pp.19, 26 and Fig. 6 p.25: fatality can occur within minutes if the patient stands, walks or sits up suddenly (WAO says seconds). EAACI p.361: avoid any abrupt change to a more upright posture. A semi-recumbent position is allowed for predominantly respiratory problems with no cardiovascular instability (RCUK pp.19, 26).</t>
  </si>
  <si>
    <t xml:space="preserve">tier</t>
  </si>
  <si>
    <t xml:space="preserve">triggers_transition</t>
  </si>
  <si>
    <t xml:space="preserve">correct</t>
  </si>
  <si>
    <t xml:space="preserve">Definitive action; transition to stable</t>
  </si>
  <si>
    <t xml:space="preserve">supportive</t>
  </si>
  <si>
    <t xml:space="preserve">Give to all patients as soon as available; not required for transition (RCUK p.31; EAACI p.365).</t>
  </si>
  <si>
    <t xml:space="preserve">Fig. 4 step 8 lists IV access as part of the protocol. Not needed for the transition in this state.</t>
  </si>
  <si>
    <t xml:space="preserve">Only if bronchoconstriction symptoms (mild wheeze / shortness of breath) are present. Adjunct only, never instead of epinephrine (p.16).</t>
  </si>
  <si>
    <t xml:space="preserve">conditional</t>
  </si>
  <si>
    <t xml:space="preserve">If hypotension/shock, or poor response to the first dose of adrenaline (RCUK p.31).</t>
  </si>
  <si>
    <t xml:space="preserve">neutral</t>
  </si>
  <si>
    <t xml:space="preserve">Nebulized epinephrine is for upper airway obstruction (p.15-16). None in this state.</t>
  </si>
  <si>
    <t xml:space="preserve">CPR is 'where indicated' (Fig. 4 step 9). Patient is not arrested. The PDF does not call it harmful, so it is not tiered contraindicated. Expert may reclassify (F-15).</t>
  </si>
  <si>
    <t xml:space="preserve">IV route is not recommended for initial treatment (p.15). Infusion only if refractory to IM.</t>
  </si>
  <si>
    <t xml:space="preserve">Glucagon is for poor response to epinephrine (p.16). Response not yet assessed in this state.</t>
  </si>
  <si>
    <t xml:space="preserve">Relieves skin symptoms only; no transition</t>
  </si>
  <si>
    <t xml:space="preserve">Benefit doubtful; no transition</t>
  </si>
  <si>
    <t xml:space="preserve">contraindicated</t>
  </si>
  <si>
    <t xml:space="preserve">Give now, or repeat every 5-15 min if already given</t>
  </si>
  <si>
    <t xml:space="preserve">Refractory anaphylaxis, and the adrenaline infusion, begin once the patient reaches cardiovascular_collapse after two IM doses have failed (RCUK p.34, p.37); not indicated in this state.</t>
  </si>
  <si>
    <t xml:space="preserve">Glucagon is considered only for refractory anaphylaxis (cardiovascular_collapse state) in a patient on a beta-blocker (RCUK p.39); not indicated in this state.</t>
  </si>
  <si>
    <t xml:space="preserve">Fig. 4 step 2.</t>
  </si>
  <si>
    <t xml:space="preserve">Fig. 4 step 3.</t>
  </si>
  <si>
    <t xml:space="preserve">Sitting position acceptable if respiratory distress</t>
  </si>
  <si>
    <t xml:space="preserve">Continuous monitoring</t>
  </si>
  <si>
    <t xml:space="preserve">Adjunct only; not a substitute for repeat epinephrine</t>
  </si>
  <si>
    <t xml:space="preserve">CPR is 'where indicated' (Fig. 4 step 9). Patient is not arrested. The PDF does not call it harmful. Expert may reclassify (F-15).</t>
  </si>
  <si>
    <t xml:space="preserve">C-04 only when not in respiratory distress</t>
  </si>
  <si>
    <t xml:space="preserve">Repeat every 5 minutes until two appropriate IM doses have been given (RCUK p.34-35); see ANA-014 for what follows.</t>
  </si>
  <si>
    <t xml:space="preserve">Prerequisite for IV fluids and the adrenaline infusion; not itself the transition trigger.</t>
  </si>
  <si>
    <t xml:space="preserve">Given alongside the adrenaline infusion but not itself required for transition (RCUK p.35, p.37).</t>
  </si>
  <si>
    <t xml:space="preserve">Yes, if arrested</t>
  </si>
  <si>
    <t xml:space="preserve">Unresponsive/unconscious with absent or abnormal breathing; use IV/IO adrenaline per ALS guidelines, not IM (RCUK p.26, p.39).</t>
  </si>
  <si>
    <t xml:space="preserve">Required once two IM doses have failed to improve symptoms: start a low-dose IV adrenaline infusion, given only by experienced specialists (RCUK p.34-37).</t>
  </si>
  <si>
    <t xml:space="preserve">Poor response to epinephrine, esp. on beta-blockers; very limited evidence</t>
  </si>
  <si>
    <t xml:space="preserve">Supine; pregnant: semi-recumbent left side; unconscious: recovery position</t>
  </si>
  <si>
    <t xml:space="preserve">Adjunct if bronchoconstriction persists; never instead of epinephrine (p.16).</t>
  </si>
  <si>
    <t xml:space="preserve">Adjunct if upper airway obstruction persists (p.15-16).</t>
  </si>
  <si>
    <t xml:space="preserve">Limited role, relieves cutaneous symptoms only (p.16). Rapid IV first-generation antihistamine is contraindicated here (C-02).</t>
  </si>
  <si>
    <t xml:space="preserve">Exemption does NOT apply here: RCUK p.19 limits the semi-recumbent/sitting exemption to predominantly respiratory symptoms with no cardiovascular instability. In cardiovascular_collapse, always penalise standing, walking, or sudden sitting up regardless of respiratory symptoms (F-09).</t>
  </si>
  <si>
    <t xml:space="preserve">Take as soon as feasible; must never delay adrenaline or other treatment (RCUK p.41; EAACI p.361).</t>
  </si>
  <si>
    <t xml:space="preserve">from_state</t>
  </si>
  <si>
    <t xml:space="preserve">trigger_type</t>
  </si>
  <si>
    <t xml:space="preserve">required_or_condition</t>
  </si>
  <si>
    <t xml:space="preserve">to_state</t>
  </si>
  <si>
    <t xml:space="preserve">base_timer_seconds</t>
  </si>
  <si>
    <t xml:space="preserve">correct_action</t>
  </si>
  <si>
    <t xml:space="preserve">ANA-004 (IM epinephrine)</t>
  </si>
  <si>
    <t xml:space="preserve">WAO: epinephrine is first-line</t>
  </si>
  <si>
    <t xml:space="preserve">Bundle logic is a team decision (F-10)</t>
  </si>
  <si>
    <t xml:space="preserve">timer_expiry</t>
  </si>
  <si>
    <t xml:space="preserve">No epinephrine given before timer ends</t>
  </si>
  <si>
    <t xml:space="preserve">WAO: delayed epinephrine risks progression; Table 7 grade 3 -&gt; 4</t>
  </si>
  <si>
    <t xml:space="preserve">Timer value needs literature; WAO gives none (F-02)</t>
  </si>
  <si>
    <t xml:space="preserve">ANA-004 (IM epinephrine, or repeat); ANA-007 is given but not required for transition (Bundle_Sequence, F-26)</t>
  </si>
  <si>
    <t xml:space="preserve">RCUK Fig. 6 p.25; Bundle_Sequence</t>
  </si>
  <si>
    <t xml:space="preserve">Repeat epinephrine every 5 minutes if already given (RCUK default, F-21)</t>
  </si>
  <si>
    <t xml:space="preserve">No correct action before timer ends</t>
  </si>
  <si>
    <t xml:space="preserve">Table 7 grade 4 -&gt; 5</t>
  </si>
  <si>
    <t xml:space="preserve">Two appropriate IM epinephrine doses (ANA-004), then start the IV adrenaline infusion (ANA-014); CPR (ANA-013) if arrested. ANA-007/ANA-008/ANA-009 are given but not themselves required for transition (Bundle_Sequence, F-26)</t>
  </si>
  <si>
    <t xml:space="preserve">RCUK Fig. 7 p.36; pp.34-37; Bundle_Sequence</t>
  </si>
  <si>
    <t xml:space="preserve">ANA-015 (glucagon) remains a conditional extra (F-26)</t>
  </si>
  <si>
    <t xml:space="preserve">no_action</t>
  </si>
  <si>
    <t xml:space="preserve">scenario_end (mortality logged)</t>
  </si>
  <si>
    <t xml:space="preserve">Design choice, not a WAO claim (F-02)</t>
  </si>
  <si>
    <t xml:space="preserve">WAO_SBP_constraint</t>
  </si>
  <si>
    <t xml:space="preserve">WAO_mental_status</t>
  </si>
  <si>
    <t xml:space="preserve">HR_min</t>
  </si>
  <si>
    <t xml:space="preserve">HR_max</t>
  </si>
  <si>
    <t xml:space="preserve">RR_min</t>
  </si>
  <si>
    <t xml:space="preserve">RR_max</t>
  </si>
  <si>
    <t xml:space="preserve">SpO2_min</t>
  </si>
  <si>
    <t xml:space="preserve">SpO2_max</t>
  </si>
  <si>
    <t xml:space="preserve">SBP_min</t>
  </si>
  <si>
    <t xml:space="preserve">SBP_max</t>
  </si>
  <si>
    <t xml:space="preserve">rhythm</t>
  </si>
  <si>
    <t xml:space="preserve">mimic_source_note</t>
  </si>
  <si>
    <t xml:space="preserve">SBP above hypotension threshold</t>
  </si>
  <si>
    <t xml:space="preserve">No collapse or loss of consciousness</t>
  </si>
  <si>
    <t xml:space="preserve">Hypotension: adult SBP &lt; 90 or &gt;30% fall from baseline</t>
  </si>
  <si>
    <t xml:space="preserve">Collapse, possible loss of consciousness</t>
  </si>
  <si>
    <t xml:space="preserve">Not defined by WAO</t>
  </si>
  <si>
    <t xml:space="preserve">EXAMPLE_DELETE_ME</t>
  </si>
  <si>
    <t xml:space="preserve">Format demonstration only - NOT clinical data</t>
  </si>
  <si>
    <t xml:space="preserve">Format demonstration only</t>
  </si>
  <si>
    <t xml:space="preserve">sinus tach</t>
  </si>
  <si>
    <t xml:space="preserve">Enter numeric min and max in separate cells</t>
  </si>
  <si>
    <t xml:space="preserve">item</t>
  </si>
  <si>
    <t xml:space="preserve">Trigger: food</t>
  </si>
  <si>
    <t xml:space="preserve">celery</t>
  </si>
  <si>
    <t xml:space="preserve">Table 4 p.9</t>
  </si>
  <si>
    <t xml:space="preserve">cow's milk</t>
  </si>
  <si>
    <t xml:space="preserve">hen's egg</t>
  </si>
  <si>
    <t xml:space="preserve">peach</t>
  </si>
  <si>
    <t xml:space="preserve">peanut</t>
  </si>
  <si>
    <t xml:space="preserve">seeds (e.g., sesame)</t>
  </si>
  <si>
    <t xml:space="preserve">shellfish</t>
  </si>
  <si>
    <t xml:space="preserve">tree nuts</t>
  </si>
  <si>
    <t xml:space="preserve">wheat and buckwheat</t>
  </si>
  <si>
    <t xml:space="preserve">Trigger: insect venom</t>
  </si>
  <si>
    <t xml:space="preserve">bee and wasp venom</t>
  </si>
  <si>
    <t xml:space="preserve">fire ants</t>
  </si>
  <si>
    <t xml:space="preserve">horse fly</t>
  </si>
  <si>
    <t xml:space="preserve">Trigger: drugs</t>
  </si>
  <si>
    <t xml:space="preserve">analgesics</t>
  </si>
  <si>
    <t xml:space="preserve">antibiotics</t>
  </si>
  <si>
    <t xml:space="preserve">biologics</t>
  </si>
  <si>
    <t xml:space="preserve">chemotherapeutics</t>
  </si>
  <si>
    <t xml:space="preserve">contrast media</t>
  </si>
  <si>
    <t xml:space="preserve">proton pump inhibitors</t>
  </si>
  <si>
    <t xml:space="preserve">Cofactor</t>
  </si>
  <si>
    <t xml:space="preserve">exercise</t>
  </si>
  <si>
    <t xml:space="preserve">Fig. 3 p.10</t>
  </si>
  <si>
    <t xml:space="preserve">acute infection (e.g., cold or fever)</t>
  </si>
  <si>
    <t xml:space="preserve">emotional stress</t>
  </si>
  <si>
    <t xml:space="preserve">travel / disruption of routine</t>
  </si>
  <si>
    <t xml:space="preserve">premenstrual status (females)</t>
  </si>
  <si>
    <t xml:space="preserve">sleep deprivation</t>
  </si>
  <si>
    <t xml:space="preserve">Table 5 p.11; p.14</t>
  </si>
  <si>
    <t xml:space="preserve">alcohol intake</t>
  </si>
  <si>
    <t xml:space="preserve">p.14</t>
  </si>
  <si>
    <t xml:space="preserve">Concurrent medication</t>
  </si>
  <si>
    <t xml:space="preserve">beta-blockers (effect not fully established)</t>
  </si>
  <si>
    <t xml:space="preserve">Fig. 3 p.10; p.14</t>
  </si>
  <si>
    <t xml:space="preserve">ACE inhibitors (effect not fully established)</t>
  </si>
  <si>
    <t xml:space="preserve">NSAIDs</t>
  </si>
  <si>
    <t xml:space="preserve">Comorbidity</t>
  </si>
  <si>
    <t xml:space="preserve">asthma / other respiratory disease (unstable asthma)</t>
  </si>
  <si>
    <t xml:space="preserve">cardiovascular disease</t>
  </si>
  <si>
    <t xml:space="preserve">mastocytosis / clonal mast cell disorders</t>
  </si>
  <si>
    <t xml:space="preserve">atopic disease (allergic rhinitis, eczema)</t>
  </si>
  <si>
    <t xml:space="preserve">psychiatric illness (e.g., depression)</t>
  </si>
  <si>
    <t xml:space="preserve">Age-related factor</t>
  </si>
  <si>
    <t xml:space="preserve">Infants: cannot describe their symptoms</t>
  </si>
  <si>
    <t xml:space="preserve">Adolescents/young adults: increased risk-taking behaviour</t>
  </si>
  <si>
    <t xml:space="preserve">Labour and delivery: risk from medications (e.g., antibiotic for group B strep prophylaxis)</t>
  </si>
  <si>
    <t xml:space="preserve">Elderly: increased fatality risk from medication- and venom-triggered anaphylaxis</t>
  </si>
  <si>
    <t xml:space="preserve">Regional/age pattern</t>
  </si>
  <si>
    <t xml:space="preserve">Children: hen's egg (infants/pre-school), cow's milk, wheat, peanut</t>
  </si>
  <si>
    <t xml:space="preserve">p.11-12</t>
  </si>
  <si>
    <t xml:space="preserve">Adults, North America and Australia: peanut and tree nuts</t>
  </si>
  <si>
    <t xml:space="preserve">Adults, Asia: shellfish</t>
  </si>
  <si>
    <t xml:space="preserve">Central Europe: peanut, tree nuts, seeds such as sesame, wheat, shellfish</t>
  </si>
  <si>
    <t xml:space="preserve">Middle East: sesame seed</t>
  </si>
  <si>
    <t xml:space="preserve">Korea: buckwheat; bee venom most frequent venom</t>
  </si>
  <si>
    <t xml:space="preserve">Central Europe venom: wasp</t>
  </si>
  <si>
    <t xml:space="preserve">Drugs: antibiotics and NSAIDs most frequent (varies by age/region)</t>
  </si>
  <si>
    <t xml:space="preserve">Trigger: other</t>
  </si>
  <si>
    <t xml:space="preserve">natural rubber latex</t>
  </si>
  <si>
    <t xml:space="preserve">p.12; Fig. 2 p.8</t>
  </si>
  <si>
    <t xml:space="preserve">seminal fluid</t>
  </si>
  <si>
    <t xml:space="preserve">medical dyes</t>
  </si>
  <si>
    <t xml:space="preserve">p.12</t>
  </si>
  <si>
    <t xml:space="preserve">perioperative agents (suxamethonium, rocuronium, thiopental, propofol, opioids, protamine, chlorhexidine, plasma expanders)</t>
  </si>
  <si>
    <t xml:space="preserve">occupational allergens; aeroallergens</t>
  </si>
  <si>
    <t xml:space="preserve">Fig. 2 p.8</t>
  </si>
  <si>
    <t xml:space="preserve">allergen immunotherapy; skin testing; Anisakis; antiseptic skin preparations</t>
  </si>
  <si>
    <t xml:space="preserve">p.19</t>
  </si>
  <si>
    <t xml:space="preserve">Trigger: drugs (newer)</t>
  </si>
  <si>
    <t xml:space="preserve">alpha-gal-containing biologics (cetuximab); olaparib</t>
  </si>
  <si>
    <t xml:space="preserve">chlorhexidine (disinfectant); polyethylene glycol; methylcellulose</t>
  </si>
  <si>
    <t xml:space="preserve">Trigger: drugs (mechanism)</t>
  </si>
  <si>
    <t xml:space="preserve">neuromuscular blocking agents and fluoroquinolones (activate mast cells through MRGPRX2)</t>
  </si>
  <si>
    <t xml:space="preserve">p.11</t>
  </si>
  <si>
    <t xml:space="preserve">Trigger: food (delayed)</t>
  </si>
  <si>
    <t xml:space="preserve">alpha-gal (red meat): rapidly progressing symptoms with delayed onset after exposure</t>
  </si>
  <si>
    <t xml:space="preserve">p.5</t>
  </si>
  <si>
    <t xml:space="preserve">Trigger: food (regional)</t>
  </si>
  <si>
    <t xml:space="preserve">Southern Europe: lipid transfer protein-containing plant foods, often with cofactors</t>
  </si>
  <si>
    <t xml:space="preserve">Trigger: food (rare)</t>
  </si>
  <si>
    <t xml:space="preserve">mite ingestion (oral mite anaphylaxis), infrequent</t>
  </si>
  <si>
    <t xml:space="preserve">Trigger: insect venom (regional)</t>
  </si>
  <si>
    <t xml:space="preserve">red ants: America, Asia and parts of Australia</t>
  </si>
  <si>
    <t xml:space="preserve">snake antivenom (Australia)</t>
  </si>
  <si>
    <t xml:space="preserve">Trigger: non-immunologic</t>
  </si>
  <si>
    <t xml:space="preserve">physical factors (exercise, cold, heat, sunlight); ethanol; opioids (direct mast cell activation)</t>
  </si>
  <si>
    <t xml:space="preserve">Fig. 2 p.8; p.11</t>
  </si>
  <si>
    <t xml:space="preserve">Trigger: IgE-independent</t>
  </si>
  <si>
    <t xml:space="preserve">radiocontrast media; NSAIDs; dextrans; biologic agents</t>
  </si>
  <si>
    <t xml:space="preserve">Trigger: idiopathic</t>
  </si>
  <si>
    <t xml:space="preserve">no apparent trigger (6.5-35% of cases); rule out mast cell disorders</t>
  </si>
  <si>
    <t xml:space="preserve">p.11; Fig. 2 p.8</t>
  </si>
  <si>
    <t xml:space="preserve">psychological burden; physical activity (exogenous severity factors)</t>
  </si>
  <si>
    <t xml:space="preserve">Table 5 p.11</t>
  </si>
  <si>
    <t xml:space="preserve">sex, age, elevated baseline tryptase (endogenous severity factors)</t>
  </si>
  <si>
    <t xml:space="preserve">ethanol, sedatives, hypnotics, antidepressants, recreational drugs (may affect recognition of triggers and symptoms)</t>
  </si>
  <si>
    <t xml:space="preserve">detail</t>
  </si>
  <si>
    <t xml:space="preserve">tier_in_stable</t>
  </si>
  <si>
    <t xml:space="preserve">when</t>
  </si>
  <si>
    <t xml:space="preserve">tier_before_stable</t>
  </si>
  <si>
    <t xml:space="preserve">Observe patient; about half of biphasic reactions occur within 6-12 h; no consensus on duration</t>
  </si>
  <si>
    <t xml:space="preserve">PS-01</t>
  </si>
  <si>
    <t xml:space="preserve">Before leaving the ED; duration not defined by WAO</t>
  </si>
  <si>
    <t xml:space="preserve">Epinephrine auto-injector</t>
  </si>
  <si>
    <t xml:space="preserve">Prescribe and teach self-administration (ideally at discharge)</t>
  </si>
  <si>
    <t xml:space="preserve">Table 8 p.15; p.16</t>
  </si>
  <si>
    <t xml:space="preserve">PS-02</t>
  </si>
  <si>
    <t xml:space="preserve">Ideally at discharge</t>
  </si>
  <si>
    <t xml:space="preserve">Written emergency action plan</t>
  </si>
  <si>
    <t xml:space="preserve">Personalized plan; patient or caregiver 'teach back' of when to give epinephrine</t>
  </si>
  <si>
    <t xml:space="preserve">Table 8 p.15</t>
  </si>
  <si>
    <t xml:space="preserve">PS-03</t>
  </si>
  <si>
    <t xml:space="preserve">At discharge</t>
  </si>
  <si>
    <t xml:space="preserve">Specialist referral</t>
  </si>
  <si>
    <t xml:space="preserve">Refer to allergy/immunology specialist for trigger confirmation and prevention advice</t>
  </si>
  <si>
    <t xml:space="preserve">p.18</t>
  </si>
  <si>
    <t xml:space="preserve">PS-04</t>
  </si>
  <si>
    <t xml:space="preserve">At or after discharge</t>
  </si>
  <si>
    <t xml:space="preserve">Trigger avoidance</t>
  </si>
  <si>
    <t xml:space="preserve">Avoidance advice; allergen immunotherapy/desensitization where indicated</t>
  </si>
  <si>
    <t xml:space="preserve">Table 8 p.15; p.18</t>
  </si>
  <si>
    <t xml:space="preserve">PS-05</t>
  </si>
  <si>
    <t xml:space="preserve">At discharge and follow-up</t>
  </si>
  <si>
    <t xml:space="preserve">Medical identification</t>
  </si>
  <si>
    <t xml:space="preserve">Bracelet or wallet card; record suspected trigger(s) in medical record</t>
  </si>
  <si>
    <t xml:space="preserve">PS-06</t>
  </si>
  <si>
    <t xml:space="preserve">Baseline tryptase</t>
  </si>
  <si>
    <t xml:space="preserve">Measure at least 24 h after symptoms resolve (the acute/2-hour sample is a separate action, ANA-018; see Verify_Flags F-31.)</t>
  </si>
  <si>
    <t xml:space="preserve">PS-07</t>
  </si>
  <si>
    <t xml:space="preserve">At least 24 h after symptoms resolve</t>
  </si>
  <si>
    <t xml:space="preserve">Risk factor management</t>
  </si>
  <si>
    <t xml:space="preserve">Poorly controlled asthma, cardiovascular disease, risk-taking behaviour, nihilism over dangers of anaphylaxis</t>
  </si>
  <si>
    <t xml:space="preserve">PS-08</t>
  </si>
  <si>
    <t xml:space="preserve">At follow-up</t>
  </si>
  <si>
    <t xml:space="preserve">Follow-up</t>
  </si>
  <si>
    <t xml:space="preserve">Annual follow-up recommended by WAO</t>
  </si>
  <si>
    <t xml:space="preserve">PS-09</t>
  </si>
  <si>
    <t xml:space="preserve">Annually</t>
  </si>
  <si>
    <t xml:space="preserve">Trigger identification tests</t>
  </si>
  <si>
    <t xml:space="preserve">Detailed history, confirmatory in vivo and in vitro tests; allergen skin tests at specialist follow-up (about 3-4 weeks after the episode); allergen-specific serum IgE</t>
  </si>
  <si>
    <t xml:space="preserve">Table 8 p.15; Fig. 5 p.14</t>
  </si>
  <si>
    <t xml:space="preserve">PS-10</t>
  </si>
  <si>
    <t xml:space="preserve">At specialist follow-up (about 3-4 weeks)</t>
  </si>
  <si>
    <t xml:space="preserve">Immunomodulation where indicated</t>
  </si>
  <si>
    <t xml:space="preserve">Stinging insect venom immunotherapy; medication desensitization in the absence of alternative therapies</t>
  </si>
  <si>
    <t xml:space="preserve">Fig. 5 p.14; p.18</t>
  </si>
  <si>
    <t xml:space="preserve">PS-11</t>
  </si>
  <si>
    <t xml:space="preserve">Only where indicated (trigger dependent)</t>
  </si>
  <si>
    <t xml:space="preserve">Carry a mobile phone</t>
  </si>
  <si>
    <t xml:space="preserve">Always carry a mobile phone, especially in exercise-induced anaphylaxis</t>
  </si>
  <si>
    <t xml:space="preserve">PS-12</t>
  </si>
  <si>
    <t xml:space="preserve">Recognition and injection technique</t>
  </si>
  <si>
    <t xml:space="preserve">Teach the patient to recognise symptoms (tingling in the extremities, sense of heat, dizziness/fainting, swollen lips-tongue-uvula, shortness of breath, wheeze, stridor, collapse), inject IM into the mid-anterolateral thigh, hold about 3-10 s, then call for medical help</t>
  </si>
  <si>
    <t xml:space="preserve">PS-13</t>
  </si>
  <si>
    <t xml:space="preserve">Alternative to auto-injector</t>
  </si>
  <si>
    <t xml:space="preserve">Where an auto-injector is not available or affordable: prefilled epinephrine syringe, or 1-mL syringe/needle with an ampoule, with training and written instructions</t>
  </si>
  <si>
    <t xml:space="preserve">p.17-18</t>
  </si>
  <si>
    <t xml:space="preserve">PS-14</t>
  </si>
  <si>
    <t xml:space="preserve">Only where an auto-injector is unavailable</t>
  </si>
  <si>
    <t xml:space="preserve">Dietician / psychologist follow-up</t>
  </si>
  <si>
    <t xml:space="preserve">WAO and EAACI guidelines note the importance of follow-up with a dietician and a psychologist, if relevant</t>
  </si>
  <si>
    <t xml:space="preserve">PS-15</t>
  </si>
  <si>
    <t xml:space="preserve">If relevant</t>
  </si>
  <si>
    <t xml:space="preserve">Hypotension threshold calculator (Table 2, footnote a)</t>
  </si>
  <si>
    <t xml:space="preserve">Yellow cells are inputs; values shown are example inputs only.</t>
  </si>
  <si>
    <t xml:space="preserve">Patient age (years)</t>
  </si>
  <si>
    <t xml:space="preserve">Input</t>
  </si>
  <si>
    <t xml:space="preserve">Baseline SBP (mmHg, optional)</t>
  </si>
  <si>
    <t xml:space="preserve">Input. Leave blank if unknown.</t>
  </si>
  <si>
    <t xml:space="preserve">Measured SBP (mmHg)</t>
  </si>
  <si>
    <t xml:space="preserve">Absolute SBP threshold (mmHg)</t>
  </si>
  <si>
    <t xml:space="preserve">Under 10 y: 70 + (2 x age). Adults and children over 10 y: 90. (Age exactly 10 is treated as over 10.)</t>
  </si>
  <si>
    <t xml:space="preserve">SBP threshold for &gt;30% fall (mmHg)</t>
  </si>
  <si>
    <t xml:space="preserve">70% of baseline SBP</t>
  </si>
  <si>
    <t xml:space="preserve">Result</t>
  </si>
  <si>
    <t xml:space="preserve">Either criterion defines hypotension.</t>
  </si>
  <si>
    <t xml:space="preserve">IM epinephrine dose calculator (Table 6, Fig. 4, p.15)</t>
  </si>
  <si>
    <t xml:space="preserve">Patient weight (kg)</t>
  </si>
  <si>
    <t xml:space="preserve">Input (example value)</t>
  </si>
  <si>
    <t xml:space="preserve">Patient type (adult / child)</t>
  </si>
  <si>
    <t xml:space="preserve">adult</t>
  </si>
  <si>
    <t xml:space="preserve">Input. Child max dose 0.3 mg per Fig. 4 (F-05).</t>
  </si>
  <si>
    <t xml:space="preserve">Concentration (mg/mL)</t>
  </si>
  <si>
    <t xml:space="preserve">1 mg/mL (1:1000), Table 6 footnote a</t>
  </si>
  <si>
    <t xml:space="preserve">Dose (mg)</t>
  </si>
  <si>
    <t xml:space="preserve">0.01 mg/kg, capped at 0.5 mg (adult) or 0.3 mg (child)</t>
  </si>
  <si>
    <t xml:space="preserve">Volume to inject (mL)</t>
  </si>
  <si>
    <t xml:space="preserve">Dose divided by concentration</t>
  </si>
  <si>
    <t xml:space="preserve">drug_or_item</t>
  </si>
  <si>
    <t xml:space="preserve">pdf_terms_and_synonyms</t>
  </si>
  <si>
    <t xml:space="preserve">route</t>
  </si>
  <si>
    <t xml:space="preserve">site</t>
  </si>
  <si>
    <t xml:space="preserve">dose_or_setting</t>
  </si>
  <si>
    <t xml:space="preserve">parameter_rules</t>
  </si>
  <si>
    <t xml:space="preserve">wrong_parameter_handling</t>
  </si>
  <si>
    <t xml:space="preserve">Remove/stop trigger</t>
  </si>
  <si>
    <t xml:space="preserve">Trigger exposure</t>
  </si>
  <si>
    <t xml:space="preserve">remove exposure to the trigger; discontinue administration of drugs/therapeutic agents; discontinue an IV diagnostic or therapeutic agent</t>
  </si>
  <si>
    <t xml:space="preserve">Applies when the trigger is still being given or is still present (e.g. IV drug).</t>
  </si>
  <si>
    <t xml:space="preserve">Not specified in PDF.</t>
  </si>
  <si>
    <t xml:space="preserve">Fig. 4 step 2 p.11; p.15</t>
  </si>
  <si>
    <t xml:space="preserve">Assess ABC, mental status, skin, weight</t>
  </si>
  <si>
    <t xml:space="preserve">Assessment</t>
  </si>
  <si>
    <t xml:space="preserve">assess airway, breathing, circulation, mental status, skin and body weight (mass)</t>
  </si>
  <si>
    <t xml:space="preserve">Weight is needed for the epinephrine dose.</t>
  </si>
  <si>
    <t xml:space="preserve">Fig. 4 step 3 p.11</t>
  </si>
  <si>
    <t xml:space="preserve">Call for help</t>
  </si>
  <si>
    <t xml:space="preserve">Help</t>
  </si>
  <si>
    <t xml:space="preserve">resuscitation team (hospital); emergency medical services (community)</t>
  </si>
  <si>
    <t xml:space="preserve">Done at the same time as epinephrine and positioning (Fig. 4 steps 4-6).</t>
  </si>
  <si>
    <t xml:space="preserve">Fig. 4 step 4 p.11; p.15</t>
  </si>
  <si>
    <t xml:space="preserve">IM epinephrine</t>
  </si>
  <si>
    <t xml:space="preserve">epinephrine; adrenaline (WAO uses both words interchangeably); 1 mg/mL (1:1000) solution; epinephrine auto-injector (EAI); prefilled epinephrine syringe; vial/ampoule</t>
  </si>
  <si>
    <t xml:space="preserve">Intramuscular (IM)</t>
  </si>
  <si>
    <t xml:space="preserve">Mid-anterolateral thigh (vastus lateralis)</t>
  </si>
  <si>
    <t xml:space="preserve">0.01 mg/kg, maximum 0.5 mg (Fig. 4: 0.3 mg for a child). See Epinephrine_Doses and Calculators.</t>
  </si>
  <si>
    <t xml:space="preserve">Use 1 mg/mL (1:1000) for IM. Repeat every 5-15 min if symptoms are refractory (p.15).</t>
  </si>
  <si>
    <t xml:space="preserve">IV bolus = C-01 (contraindicated). Dose above the stated maximum, or an IM site other than the thigh: PDF gives no rule or penalty (expert decision).</t>
  </si>
  <si>
    <t xml:space="preserve">Fig. 4 step 5 p.11; Table 6 p.12; p.15-16</t>
  </si>
  <si>
    <t xml:space="preserve">Position the patient</t>
  </si>
  <si>
    <t xml:space="preserve">supine; on the back; position of comfort; sitting; semi-recumbent on the left side (pregnant); recovery position (unconscious); elevate lower extremities / Trendelenburg</t>
  </si>
  <si>
    <t xml:space="preserve">Most patients supine; sitting if respiratory distress; pregnant: semi-recumbent on the left side; unconscious: recovery position. Leg elevation: text calls it controversial, Fig. 4 recommends it (F-09, G-14).</t>
  </si>
  <si>
    <t xml:space="preserve">Making the patient stand or sit up suddenly = C-04 (only when not in respiratory distress).</t>
  </si>
  <si>
    <t xml:space="preserve">p.15; Fig. 4 step 6 p.11</t>
  </si>
  <si>
    <t xml:space="preserve">high-flow supplemental oxygen; 100% oxygen; non-rebreather facemask; oropharyngeal airway</t>
  </si>
  <si>
    <t xml:space="preserve">Inhaled</t>
  </si>
  <si>
    <t xml:space="preserve">Face mask or oropharyngeal airway</t>
  </si>
  <si>
    <t xml:space="preserve">RCUK (default): highest concentration possible via reservoir mask, then titrate to SpO2 94-98% (88-92% if at risk of hypercapnic respiratory failure). WAO: 6-8 L/min by face mask. EAACI: 10 L/min with a reservoir bag.</t>
  </si>
  <si>
    <t xml:space="preserve">For all patients with respiratory distress and those receiving further epinephrine doses.</t>
  </si>
  <si>
    <t xml:space="preserve">IV access</t>
  </si>
  <si>
    <t xml:space="preserve">IV cannula</t>
  </si>
  <si>
    <t xml:space="preserve">needles or catheters with wide-bore cannula; 14-16 gauge</t>
  </si>
  <si>
    <t xml:space="preserve">IV</t>
  </si>
  <si>
    <t xml:space="preserve">Wide-bore 14-16 G (adult)</t>
  </si>
  <si>
    <t xml:space="preserve">Prerequisite for IV fluids (ANA-009).</t>
  </si>
  <si>
    <t xml:space="preserve">Fig. 4 step 8 p.11; p.15</t>
  </si>
  <si>
    <t xml:space="preserve">IV crystalloid fluids</t>
  </si>
  <si>
    <t xml:space="preserve">Isotonic crystalloid</t>
  </si>
  <si>
    <t xml:space="preserve">IV fluids; crystalloids; 0.9% saline; isotonic saline</t>
  </si>
  <si>
    <t xml:space="preserve">Fig. 4: 1-2 L rapidly (adult 5-10 mL/kg in first 5-10 min; child 10 mL/kg). Text: 20 mL/kg bolus. PDF conflict, see F-03.</t>
  </si>
  <si>
    <t xml:space="preserve">For cardiovascular instability. Needs IV access first.</t>
  </si>
  <si>
    <t xml:space="preserve">Monitor vitals</t>
  </si>
  <si>
    <t xml:space="preserve">Monitoring</t>
  </si>
  <si>
    <t xml:space="preserve">monitor blood pressure, cardiac rate and function, respiratory status, oxygenation; invasive monitoring (if pertinent)</t>
  </si>
  <si>
    <t xml:space="preserve">At frequent, regular intervals; continuous if possible</t>
  </si>
  <si>
    <t xml:space="preserve">Fig. 4 step 10 p.11; p.16</t>
  </si>
  <si>
    <t xml:space="preserve">Inhaled beta-2 agonist</t>
  </si>
  <si>
    <t xml:space="preserve">Salbutamol / albuterol</t>
  </si>
  <si>
    <t xml:space="preserve">inhaled short-acting beta-2 agonist; salbutamol; albuterol</t>
  </si>
  <si>
    <t xml:space="preserve">Nebulised salbutamol 5 mg (adults, school-age children); 2.5 mg (&lt;5 years / preschool). IV bolus 250 micrograms over 5 min (adult). RCUK Appendix 3 p.57; EAACI Fig. 1 p.364 (nebulised 5 mg or MDI 600 micrograms with spacer; preschool 2.5 mg or 400 micrograms). See Refractory_Drug_Doses.</t>
  </si>
  <si>
    <t xml:space="preserve">For symptoms of bronchoconstriction. Adjunct only.</t>
  </si>
  <si>
    <t xml:space="preserve">Used instead of IM epinephrine = C-03.</t>
  </si>
  <si>
    <t xml:space="preserve">p.16; RCUK 2021 p.57; EAACI 2021 p.364</t>
  </si>
  <si>
    <t xml:space="preserve">Nebulized epinephrine</t>
  </si>
  <si>
    <t xml:space="preserve">Epinephrine (nebulized)</t>
  </si>
  <si>
    <t xml:space="preserve">nebulized adrenaline; nebulized epinephrine</t>
  </si>
  <si>
    <t xml:space="preserve">Nebulized</t>
  </si>
  <si>
    <t xml:space="preserve">5 mL of 1 mg/mL (1:1000) adrenaline nebulised, only after IM/IV adrenaline (RCUK p.30). EAACI Fig. 1 p.364 gives 1 mg with 4 mL 0.9% NaCl; the two differ (F-27).</t>
  </si>
  <si>
    <t xml:space="preserve">For upper airway obstruction. Adjunct only.</t>
  </si>
  <si>
    <t xml:space="preserve">p.15-16; RCUK 2021 p.30; EAACI 2021 p.364</t>
  </si>
  <si>
    <t xml:space="preserve">CPR</t>
  </si>
  <si>
    <t xml:space="preserve">Chest compressions</t>
  </si>
  <si>
    <t xml:space="preserve">cardiopulmonary resuscitation; continuous chest compressions</t>
  </si>
  <si>
    <t xml:space="preserve">Only where indicated (arrest).</t>
  </si>
  <si>
    <t xml:space="preserve">Not specified in PDF for a patient with a pulse (F-15).</t>
  </si>
  <si>
    <t xml:space="preserve">Fig. 4 step 9 p.11; p.15</t>
  </si>
  <si>
    <t xml:space="preserve">IV epinephrine infusion</t>
  </si>
  <si>
    <t xml:space="preserve">Epinephrine (IV infusion)</t>
  </si>
  <si>
    <t xml:space="preserve">intravenous infusion via infusion pump; low-dose epinephrine infusion (Brown et al. protocol)</t>
  </si>
  <si>
    <t xml:space="preserve">IV infusion (peripheral cannula)</t>
  </si>
  <si>
    <t xml:space="preserve">Mix 1 mg (1 mL of 1 mg/mL) adrenaline in 100 mL 0.9% NaCl; start 0.5-1.0 mL/kg/h (0.5 moderate, 1.0 severe); titrate to response; infusion pump, dedicated line, continuous monitoring (RCUK p.37, Appendix 3 p.57). See Refractory_Drug_Doses.</t>
  </si>
  <si>
    <t xml:space="preserve">Only for reactions refractory to IM epinephrine, in monitored patients, by experienced personnel.</t>
  </si>
  <si>
    <t xml:space="preserve">IV bolus = C-01.</t>
  </si>
  <si>
    <t xml:space="preserve">p.15; RCUK 2021 p.37, p.57</t>
  </si>
  <si>
    <t xml:space="preserve">parenteral glucagon</t>
  </si>
  <si>
    <t xml:space="preserve">Parenteral</t>
  </si>
  <si>
    <t xml:space="preserve">Adult 1 mg IV, repeat or follow with 1-2 mg/h infusion; paediatric 20-30 micrograms/kg (max 1 mg), repeat every 5 min (RCUK Appendix 3 p.57).</t>
  </si>
  <si>
    <t xml:space="preserve">Poor response to epinephrine, especially patients on beta-blockers. Very limited evidence.</t>
  </si>
  <si>
    <t xml:space="preserve">p.16; RCUK 2021 p.39, p.57</t>
  </si>
  <si>
    <t xml:space="preserve">First-generation H1-antihistamine</t>
  </si>
  <si>
    <t xml:space="preserve">chlorphenamine; chlorpheniramine; diphenhydramine; clemastine (first-generation H1-antihistamines are the only ones available parenterally)</t>
  </si>
  <si>
    <t xml:space="preserve">No chlorphenamine dose is given in RCUK or EAACI. After stabilisation RCUK prefers oral non-sedating cetirizine (Table 4 p.32): &lt;2 y 250 micrograms/kg; 2-6 y 2.5-5 mg; 6-11 y 5-10 mg; 12+ y and adults 10-20 mg. Chlorphenamine IV/IM only if the oral route is impossible; rapid IV bolus can cause hypotension (C-02).</t>
  </si>
  <si>
    <t xml:space="preserve">Limited role; relieves cutaneous symptoms only; 2nd/3rd line.</t>
  </si>
  <si>
    <t xml:space="preserve">Rapid IV = C-02 (airway, collapse). Given instead of, or before, epinephrine = C-03.</t>
  </si>
  <si>
    <t xml:space="preserve">p.16; RCUK 2021 p.32</t>
  </si>
  <si>
    <t xml:space="preserve">intravenous hydrocortisone; methylprednisolone</t>
  </si>
  <si>
    <t xml:space="preserve">Hydrocortisone 200 mg IV initial dose (adult); 4 mg/kg IV, max 200 mg (paediatric). Consider only for refractory reactions after initial resuscitation (RCUK Appendix 3 p.57; pp.33, 39).</t>
  </si>
  <si>
    <t xml:space="preserve">Benefit doubtful in the acute phase; routine use controversial.</t>
  </si>
  <si>
    <t xml:space="preserve">Given instead of, or before, epinephrine = C-03.</t>
  </si>
  <si>
    <t xml:space="preserve">p.16; RCUK 2021 p.33, p.39, p.57</t>
  </si>
  <si>
    <t xml:space="preserve">Take tryptase sample</t>
  </si>
  <si>
    <t xml:space="preserve">Blood sample (serum or plasma tryptase)</t>
  </si>
  <si>
    <t xml:space="preserve">take blood sample for mast cell tryptase; measure serum tryptase</t>
  </si>
  <si>
    <t xml:space="preserve">Serum ('liver function test' tube) or plasma; sample volume &gt;=0.5 mL, &gt;2 mL preferred</t>
  </si>
  <si>
    <t xml:space="preserve">Timing: first sample as soon as feasible without delaying treatment; second sample 1-2 h (no later than 4 h) after onset; baseline sample &gt;=24 h after resolution (PS-07). Record the time after symptom onset on the form, tube and clinical record.</t>
  </si>
  <si>
    <t xml:space="preserve">Not specified in RCUK/EAACI.</t>
  </si>
  <si>
    <t xml:space="preserve">RCUK 2021 p.36, pp.40-41; EAACI 2021 p.361</t>
  </si>
  <si>
    <t xml:space="preserve">variable</t>
  </si>
  <si>
    <t xml:space="preserve">type</t>
  </si>
  <si>
    <t xml:space="preserve">starts_as</t>
  </si>
  <si>
    <t xml:space="preserve">set_or_updated_when</t>
  </si>
  <si>
    <t xml:space="preserve">used_for</t>
  </si>
  <si>
    <t xml:space="preserve">pdf_rule</t>
  </si>
  <si>
    <t xml:space="preserve">epi_given</t>
  </si>
  <si>
    <t xml:space="preserve">boolean</t>
  </si>
  <si>
    <t xml:space="preserve">False</t>
  </si>
  <si>
    <t xml:space="preserve">Set True when ANA-004 is logged</t>
  </si>
  <si>
    <t xml:space="preserve">Airway and collapse bundle: 'give now, or repeat if already given' (State_Actions, Transitions)</t>
  </si>
  <si>
    <t xml:space="preserve">IM epinephrine is first-line and the definitive action.</t>
  </si>
  <si>
    <t xml:space="preserve">Fig. 4 step 5 p.11; p.15</t>
  </si>
  <si>
    <t xml:space="preserve">epi_dose_count</t>
  </si>
  <si>
    <t xml:space="preserve">integer</t>
  </si>
  <si>
    <t xml:space="preserve">0</t>
  </si>
  <si>
    <t xml:space="preserve">+1 each time ANA-004 is logged</t>
  </si>
  <si>
    <t xml:space="preserve">Brain 3 (doses given); shows whether the patient needed more than the usual number</t>
  </si>
  <si>
    <t xml:space="preserve">Most patients respond to 1 or 2 doses.</t>
  </si>
  <si>
    <t xml:space="preserve">Fig. 4 step 5 p.11</t>
  </si>
  <si>
    <t xml:space="preserve">epi_last_dose_time</t>
  </si>
  <si>
    <t xml:space="preserve">clock time</t>
  </si>
  <si>
    <t xml:space="preserve">none</t>
  </si>
  <si>
    <t xml:space="preserve">Set to the simulation clock at every ANA-004</t>
  </si>
  <si>
    <t xml:space="preserve">Repeat-dose timing</t>
  </si>
  <si>
    <t xml:space="preserve">Repeat dosing every 5-15 min if symptoms are refractory.</t>
  </si>
  <si>
    <t xml:space="preserve">epi_repeat_window</t>
  </si>
  <si>
    <t xml:space="preserve">derived</t>
  </si>
  <si>
    <t xml:space="preserve">closed</t>
  </si>
  <si>
    <t xml:space="preserve">Opens when (now - epi_last_dose_time) &gt;= 5 real min and symptoms persist; 15 real min is the upper end of the stated interval</t>
  </si>
  <si>
    <t xml:space="preserve">Decides whether another ANA-004 is a valid repeat</t>
  </si>
  <si>
    <t xml:space="preserve">Repeat every 5-15 min. PDF gives no penalty for repeating too early or too late (F-17).</t>
  </si>
  <si>
    <t xml:space="preserve">epi_response_poor</t>
  </si>
  <si>
    <t xml:space="preserve">Set by the scenario or Brain 1 (e.g. beta-blocker variant)</t>
  </si>
  <si>
    <t xml:space="preserve">Makes glucagon (ANA-015) and IV infusion (ANA-014) relevant</t>
  </si>
  <si>
    <t xml:space="preserve">Glucagon if response to epinephrine is not optimal, especially on beta-blockers. IV infusion for reactions refractory to IM.</t>
  </si>
  <si>
    <t xml:space="preserve">weight_kg</t>
  </si>
  <si>
    <t xml:space="preserve">number</t>
  </si>
  <si>
    <t xml:space="preserve">from patient profile</t>
  </si>
  <si>
    <t xml:space="preserve">Fixed per patient</t>
  </si>
  <si>
    <t xml:space="preserve">Epinephrine dose = 0.01 mg/kg (cap 0.5 mg; child 0.3 mg per Fig. 4)</t>
  </si>
  <si>
    <t xml:space="preserve">Dose by body weight; Table 6 bands.</t>
  </si>
  <si>
    <t xml:space="preserve">age_years</t>
  </si>
  <si>
    <t xml:space="preserve">Hypotension threshold (under 10 y: 70 + 2 x age; otherwise 90); dose band</t>
  </si>
  <si>
    <t xml:space="preserve">Table 2 footnote a; Table 6.</t>
  </si>
  <si>
    <t xml:space="preserve">Table 2 p.5; Table 6 p.12</t>
  </si>
  <si>
    <t xml:space="preserve">baseline_sbp</t>
  </si>
  <si>
    <t xml:space="preserve">Hypotension = measured SBP below 70% of baseline OR below the absolute threshold</t>
  </si>
  <si>
    <t xml:space="preserve">A fall of more than 30% from the person's baseline counts as hypotension.</t>
  </si>
  <si>
    <t xml:space="preserve">Table 2 footnote a p.5</t>
  </si>
  <si>
    <t xml:space="preserve">current_sbp</t>
  </si>
  <si>
    <t xml:space="preserve">from state vitals</t>
  </si>
  <si>
    <t xml:space="preserve">Each vitals refresh</t>
  </si>
  <si>
    <t xml:space="preserve">Collapse-state check (hypotension)</t>
  </si>
  <si>
    <t xml:space="preserve">Hypotension per the two rules above.</t>
  </si>
  <si>
    <t xml:space="preserve">respiratory_distress</t>
  </si>
  <si>
    <t xml:space="preserve">per state (early: only if wheeze/shortness of breath)</t>
  </si>
  <si>
    <t xml:space="preserve">Set on state entry and by scenario</t>
  </si>
  <si>
    <t xml:space="preserve">Contraindicated C-04 is evaluated only when False; sitting is acceptable when True; oxygen indicated when True</t>
  </si>
  <si>
    <t xml:space="preserve">Sitting may optimize breathing in respiratory distress; oxygen for all with respiratory distress.</t>
  </si>
  <si>
    <t xml:space="preserve">p.15-16; Fig. 4 steps 6-7; F-09</t>
  </si>
  <si>
    <t xml:space="preserve">patient_position</t>
  </si>
  <si>
    <t xml:space="preserve">enum: supine, sitting, standing, left semi-recumbent, recovery</t>
  </si>
  <si>
    <t xml:space="preserve">supine</t>
  </si>
  <si>
    <t xml:space="preserve">ANA-006 or a C-04 action</t>
  </si>
  <si>
    <t xml:space="preserve">C-04 evaluation and positioning tiers</t>
  </si>
  <si>
    <t xml:space="preserve">Fatality can occur within seconds if the patient stands or sits suddenly.</t>
  </si>
  <si>
    <t xml:space="preserve">Fig. 4 step 6 p.11; p.15</t>
  </si>
  <si>
    <t xml:space="preserve">pregnant</t>
  </si>
  <si>
    <t xml:space="preserve">Positioning: semi-recumbent on the left side</t>
  </si>
  <si>
    <t xml:space="preserve">Pregnant patients: semi-recumbent on the left side.</t>
  </si>
  <si>
    <t xml:space="preserve">True in the collapse 'unconscious' variant</t>
  </si>
  <si>
    <t xml:space="preserve">Recovery position; speech ability (State_Communication)</t>
  </si>
  <si>
    <t xml:space="preserve">Unconscious patients: recovery position.</t>
  </si>
  <si>
    <t xml:space="preserve">p.15; Table 7 p.14</t>
  </si>
  <si>
    <t xml:space="preserve">arrested</t>
  </si>
  <si>
    <t xml:space="preserve">True only if the scenario arrests in the collapse state</t>
  </si>
  <si>
    <t xml:space="preserve">Makes CPR (ANA-013) conditional-correct</t>
  </si>
  <si>
    <t xml:space="preserve">CPR with continuous compressions where indicated.</t>
  </si>
  <si>
    <t xml:space="preserve">Fig. 4 step 9 p.11</t>
  </si>
  <si>
    <t xml:space="preserve">on_beta_blocker</t>
  </si>
  <si>
    <t xml:space="preserve">Glucagon relevance; possible poor epinephrine response</t>
  </si>
  <si>
    <t xml:space="preserve">Beta-blockers and ACE inhibitors may influence outcome (effect not fully established).</t>
  </si>
  <si>
    <t xml:space="preserve">p.14; p.16</t>
  </si>
  <si>
    <t xml:space="preserve">skin_signs_present</t>
  </si>
  <si>
    <t xml:space="preserve">True</t>
  </si>
  <si>
    <t xml:space="preserve">Set by scenario (No-skin variant)</t>
  </si>
  <si>
    <t xml:space="preserve">Table 2 criterion 1 (skin) vs criterion 2 (no skin)</t>
  </si>
  <si>
    <t xml:space="preserve">Skin signs are absent in 10-20% of anaphylaxis reactions.</t>
  </si>
  <si>
    <t xml:space="preserve">Table 2 p.5; p.7</t>
  </si>
  <si>
    <t xml:space="preserve">help_called</t>
  </si>
  <si>
    <t xml:space="preserve">ANA-003 logged</t>
  </si>
  <si>
    <t xml:space="preserve">Brain 3 supportive checklist</t>
  </si>
  <si>
    <t xml:space="preserve">Fig. 4 step 4.</t>
  </si>
  <si>
    <t xml:space="preserve">Fig. 4 p.11</t>
  </si>
  <si>
    <t xml:space="preserve">trigger_removed</t>
  </si>
  <si>
    <t xml:space="preserve">ANA-001 logged</t>
  </si>
  <si>
    <t xml:space="preserve">Early-reaction bundle checklist</t>
  </si>
  <si>
    <t xml:space="preserve">monitoring_on</t>
  </si>
  <si>
    <t xml:space="preserve">ANA-010 logged</t>
  </si>
  <si>
    <t xml:space="preserve">Checklist; continuous monitoring if possible</t>
  </si>
  <si>
    <t xml:space="preserve">Fig. 4 step 10.</t>
  </si>
  <si>
    <t xml:space="preserve">Fig. 4 p.11; p.16</t>
  </si>
  <si>
    <t xml:space="preserve">o2_given</t>
  </si>
  <si>
    <t xml:space="preserve">ANA-007 logged</t>
  </si>
  <si>
    <t xml:space="preserve">Airway-state bundle</t>
  </si>
  <si>
    <t xml:space="preserve">Fig. 4 step 7.</t>
  </si>
  <si>
    <t xml:space="preserve">Fig. 4 p.11; p.15-16</t>
  </si>
  <si>
    <t xml:space="preserve">iv_access_established</t>
  </si>
  <si>
    <t xml:space="preserve">ANA-008 logged</t>
  </si>
  <si>
    <t xml:space="preserve">Prerequisite for IV fluids (ANA-009)</t>
  </si>
  <si>
    <t xml:space="preserve">Fig. 4 step 8.</t>
  </si>
  <si>
    <t xml:space="preserve">fluids_given</t>
  </si>
  <si>
    <t xml:space="preserve">ANA-009 logged</t>
  </si>
  <si>
    <t xml:space="preserve">Collapse-state bundle</t>
  </si>
  <si>
    <t xml:space="preserve">Crystalloid for cardiovascular instability.</t>
  </si>
  <si>
    <t xml:space="preserve">p.15; Fig. 4 step 8</t>
  </si>
  <si>
    <t xml:space="preserve">time_since_onset</t>
  </si>
  <si>
    <t xml:space="preserve">Simulation clock</t>
  </si>
  <si>
    <t xml:space="preserve">Brain 3: how long until epinephrine was given</t>
  </si>
  <si>
    <t xml:space="preserve">Anaphylaxis needs immediate management. The PDF gives no numeric target.</t>
  </si>
  <si>
    <t xml:space="preserve">hint_id</t>
  </si>
  <si>
    <t xml:space="preserve">show_when</t>
  </si>
  <si>
    <t xml:space="preserve">level</t>
  </si>
  <si>
    <t xml:space="preserve">hint_text</t>
  </si>
  <si>
    <t xml:space="preserve">related_action_id</t>
  </si>
  <si>
    <t xml:space="preserve">based_on</t>
  </si>
  <si>
    <t xml:space="preserve">HINT-01</t>
  </si>
  <si>
    <t xml:space="preserve">Epinephrine not yet given</t>
  </si>
  <si>
    <t xml:space="preserve">What is the first-line drug for anaphylaxis, and how is it given?</t>
  </si>
  <si>
    <t xml:space="preserve">Abstract p.1; Fig. 4 step 5</t>
  </si>
  <si>
    <t xml:space="preserve">HINT-02</t>
  </si>
  <si>
    <t xml:space="preserve">The first-line treatment is intramuscular epinephrine (adrenaline). Where on the body is it injected?</t>
  </si>
  <si>
    <t xml:space="preserve">HINT-03</t>
  </si>
  <si>
    <t xml:space="preserve">Give IM epinephrine (adrenaline) 0.01 mg/kg, maximum 0.5 mg, into the middle of the outer thigh now.</t>
  </si>
  <si>
    <t xml:space="preserve">Fig. 4 step 5; Table 6</t>
  </si>
  <si>
    <t xml:space="preserve">HINT-04</t>
  </si>
  <si>
    <t xml:space="preserve">Trigger not removed</t>
  </si>
  <si>
    <t xml:space="preserve">Is something still exposing the patient to the trigger, such as a drug or an IV agent?</t>
  </si>
  <si>
    <t xml:space="preserve">Fig. 4 step 2 p.11</t>
  </si>
  <si>
    <t xml:space="preserve">HINT-05</t>
  </si>
  <si>
    <t xml:space="preserve">No assessment logged</t>
  </si>
  <si>
    <t xml:space="preserve">Have you checked airway, breathing, circulation, mental status and skin?</t>
  </si>
  <si>
    <t xml:space="preserve">HINT-06</t>
  </si>
  <si>
    <t xml:space="preserve">Help not called</t>
  </si>
  <si>
    <t xml:space="preserve">Does anyone else need to know? Consider calling for help while you treat.</t>
  </si>
  <si>
    <t xml:space="preserve">Fig. 4 step 4 p.11</t>
  </si>
  <si>
    <t xml:space="preserve">HINT-07</t>
  </si>
  <si>
    <t xml:space="preserve">No monitoring started</t>
  </si>
  <si>
    <t xml:space="preserve">Keep checking blood pressure, heart rate, breathing and oxygen level at regular intervals.</t>
  </si>
  <si>
    <t xml:space="preserve">Fig. 4 step 10 p.11</t>
  </si>
  <si>
    <t xml:space="preserve">HINT-08</t>
  </si>
  <si>
    <t xml:space="preserve">Antihistamine, steroid or bronchodilator given without epinephrine (C-03)</t>
  </si>
  <si>
    <t xml:space="preserve">Does an antihistamine or steroid replace epinephrine? Think about what treats the whole reaction.</t>
  </si>
  <si>
    <t xml:space="preserve">p.16; p.20; Contraindicated C-03</t>
  </si>
  <si>
    <t xml:space="preserve">HINT-09</t>
  </si>
  <si>
    <t xml:space="preserve">Patient not on oxygen</t>
  </si>
  <si>
    <t xml:space="preserve">The patient is struggling to breathe. What supports their oxygen level?</t>
  </si>
  <si>
    <t xml:space="preserve">Fig. 4 step 7 p.11</t>
  </si>
  <si>
    <t xml:space="preserve">HINT-10</t>
  </si>
  <si>
    <t xml:space="preserve">Give high-flow oxygen by face mask (preferably 100% via a non-rebreather mask).</t>
  </si>
  <si>
    <t xml:space="preserve">Fig. 4 step 7; p.15-16</t>
  </si>
  <si>
    <t xml:space="preserve">HINT-11</t>
  </si>
  <si>
    <t xml:space="preserve">Epinephrine given, symptoms persist and at least 5 real minutes since the last dose</t>
  </si>
  <si>
    <t xml:space="preserve">Has enough time passed to repeat epinephrine if symptoms continue?</t>
  </si>
  <si>
    <t xml:space="preserve">p.15 (repeat every 5-15 min)</t>
  </si>
  <si>
    <t xml:space="preserve">HINT-12</t>
  </si>
  <si>
    <t xml:space="preserve">Patient in respiratory distress and lying flat</t>
  </si>
  <si>
    <t xml:space="preserve">Is the patient's position helping their breathing?</t>
  </si>
  <si>
    <t xml:space="preserve">HINT-13</t>
  </si>
  <si>
    <t xml:space="preserve">Stridor present, nebulized epinephrine not tried</t>
  </si>
  <si>
    <t xml:space="preserve">For upper airway obstruction, nebulized epinephrine can be added, but never instead of IM epinephrine.</t>
  </si>
  <si>
    <t xml:space="preserve">HINT-14</t>
  </si>
  <si>
    <t xml:space="preserve">Wheeze present, no bronchodilator</t>
  </si>
  <si>
    <t xml:space="preserve">Wheeze can also get an inhaled bronchodilator, but only as an add-on to epinephrine.</t>
  </si>
  <si>
    <t xml:space="preserve">HINT-15</t>
  </si>
  <si>
    <t xml:space="preserve">No IV access</t>
  </si>
  <si>
    <t xml:space="preserve">Consider establishing IV access with a wide-bore cannula.</t>
  </si>
  <si>
    <t xml:space="preserve">Fig. 4 step 8 p.11</t>
  </si>
  <si>
    <t xml:space="preserve">HINT-16</t>
  </si>
  <si>
    <t xml:space="preserve">Trainee makes a patient without respiratory distress stand or sit up suddenly (C-04)</t>
  </si>
  <si>
    <t xml:space="preserve">A patient who stands or sits up suddenly can die within seconds. Where should the patient be?</t>
  </si>
  <si>
    <t xml:space="preserve">Fig. 4 step 6 p.11</t>
  </si>
  <si>
    <t xml:space="preserve">HINT-17</t>
  </si>
  <si>
    <t xml:space="preserve">Blood pressure low, no fluids given</t>
  </si>
  <si>
    <t xml:space="preserve">Blood pressure is low. What supports the circulation?</t>
  </si>
  <si>
    <t xml:space="preserve">Fig. 4 step 8; p.15</t>
  </si>
  <si>
    <t xml:space="preserve">HINT-18</t>
  </si>
  <si>
    <t xml:space="preserve">Establish IV access and give IV isotonic fluids for the low blood pressure.</t>
  </si>
  <si>
    <t xml:space="preserve">Fig. 4 step 8; p.15 (fluid volume: F-03)</t>
  </si>
  <si>
    <t xml:space="preserve">HINT-19</t>
  </si>
  <si>
    <t xml:space="preserve">No pulse</t>
  </si>
  <si>
    <t xml:space="preserve">There is no pulse. Start chest compressions.</t>
  </si>
  <si>
    <t xml:space="preserve">HINT-20</t>
  </si>
  <si>
    <t xml:space="preserve">Epinephrine repeat is due</t>
  </si>
  <si>
    <t xml:space="preserve">Is another epinephrine dose due?</t>
  </si>
  <si>
    <t xml:space="preserve">HINT-21</t>
  </si>
  <si>
    <t xml:space="preserve">Poor response to epinephrine and patient takes a beta-blocker</t>
  </si>
  <si>
    <t xml:space="preserve">Poor response to epinephrine in a patient on a beta-blocker: consider glucagon.</t>
  </si>
  <si>
    <t xml:space="preserve">HINT-22</t>
  </si>
  <si>
    <t xml:space="preserve">Patient unconscious</t>
  </si>
  <si>
    <t xml:space="preserve">An unconscious patient goes in the recovery position; otherwise keep them on their back. Do not sit them up.</t>
  </si>
  <si>
    <t xml:space="preserve">p.15; Fig. 4 step 6</t>
  </si>
  <si>
    <t xml:space="preserve">HINT-23</t>
  </si>
  <si>
    <t xml:space="preserve">Patient recovering</t>
  </si>
  <si>
    <t xml:space="preserve">The patient is improving. Should they be observed before leaving? Late (biphasic) reactions can happen.</t>
  </si>
  <si>
    <t xml:space="preserve">HINT-24</t>
  </si>
  <si>
    <t xml:space="preserve">Before discharge</t>
  </si>
  <si>
    <t xml:space="preserve">Before discharge: epinephrine auto-injector and training, a written action plan, and referral to an allergy specialist.</t>
  </si>
  <si>
    <t xml:space="preserve">PS-02; PS-03; PS-04</t>
  </si>
  <si>
    <t xml:space="preserve">Table 8 p.15; p.16-18</t>
  </si>
  <si>
    <t xml:space="preserve">sign_id</t>
  </si>
  <si>
    <t xml:space="preserve">pdf_term</t>
  </si>
  <si>
    <t xml:space="preserve">channel</t>
  </si>
  <si>
    <t xml:space="preserve">vr_cue_suggestion</t>
  </si>
  <si>
    <t xml:space="preserve">linked_vital</t>
  </si>
  <si>
    <t xml:space="preserve">shown_in_states</t>
  </si>
  <si>
    <t xml:space="preserve">SIGN-001</t>
  </si>
  <si>
    <t xml:space="preserve">visual</t>
  </si>
  <si>
    <t xml:space="preserve">Raised red rash (wheals) on the skin</t>
  </si>
  <si>
    <t xml:space="preserve">SIGN-002</t>
  </si>
  <si>
    <t xml:space="preserve">Red, flushed skin that feels warm</t>
  </si>
  <si>
    <t xml:space="preserve">SIGN-003</t>
  </si>
  <si>
    <t xml:space="preserve">Visibly swollen lips, tongue or face</t>
  </si>
  <si>
    <t xml:space="preserve">SIGN-004</t>
  </si>
  <si>
    <t xml:space="preserve">audio</t>
  </si>
  <si>
    <t xml:space="preserve">Repeated sneezing and a runny nose</t>
  </si>
  <si>
    <t xml:space="preserve">SIGN-005</t>
  </si>
  <si>
    <t xml:space="preserve">Red, watering eyes</t>
  </si>
  <si>
    <t xml:space="preserve">SIGN-006</t>
  </si>
  <si>
    <t xml:space="preserve">Frequent throat clearing</t>
  </si>
  <si>
    <t xml:space="preserve">SIGN-007</t>
  </si>
  <si>
    <t xml:space="preserve">Dry cough</t>
  </si>
  <si>
    <t xml:space="preserve">SIGN-008</t>
  </si>
  <si>
    <t xml:space="preserve">Mild wheeze; slightly short of breath</t>
  </si>
  <si>
    <t xml:space="preserve">SIGN-009</t>
  </si>
  <si>
    <t xml:space="preserve">Vomiting or repeated toilet visits</t>
  </si>
  <si>
    <t xml:space="preserve">SIGN-010</t>
  </si>
  <si>
    <t xml:space="preserve">Harsh, high-pitched noise when breathing in</t>
  </si>
  <si>
    <t xml:space="preserve">SIGN-011</t>
  </si>
  <si>
    <t xml:space="preserve">Hoarse or changed voice</t>
  </si>
  <si>
    <t xml:space="preserve">SIGN-012</t>
  </si>
  <si>
    <t xml:space="preserve">behaviour</t>
  </si>
  <si>
    <t xml:space="preserve">Gasping, visibly breathless, speaks in short phrases</t>
  </si>
  <si>
    <t xml:space="preserve">SIGN-013</t>
  </si>
  <si>
    <t xml:space="preserve">Loud wheeze that does not ease after treatment</t>
  </si>
  <si>
    <t xml:space="preserve">SIGN-014</t>
  </si>
  <si>
    <t xml:space="preserve">Drooling (paediatric variant only)</t>
  </si>
  <si>
    <t xml:space="preserve">SIGN-015</t>
  </si>
  <si>
    <t xml:space="preserve">Goes limp and slumps</t>
  </si>
  <si>
    <t xml:space="preserve">SIGN-016</t>
  </si>
  <si>
    <t xml:space="preserve">Faints</t>
  </si>
  <si>
    <t xml:space="preserve">SIGN-017</t>
  </si>
  <si>
    <t xml:space="preserve">Unresponsive</t>
  </si>
  <si>
    <t xml:space="preserve">SIGN-018</t>
  </si>
  <si>
    <t xml:space="preserve">Loses control of bladder or bowel</t>
  </si>
  <si>
    <t xml:space="preserve">SIGN-019</t>
  </si>
  <si>
    <t xml:space="preserve">Cannot speak; breathing is ineffective or failing</t>
  </si>
  <si>
    <t xml:space="preserve">SIGN-020</t>
  </si>
  <si>
    <t xml:space="preserve">monitor</t>
  </si>
  <si>
    <t xml:space="preserve">BP monitor reads below the threshold (see Calculators)</t>
  </si>
  <si>
    <t xml:space="preserve">SBP</t>
  </si>
  <si>
    <t xml:space="preserve">SIGN-021</t>
  </si>
  <si>
    <t xml:space="preserve">hypoxemia (low oxygen saturation)</t>
  </si>
  <si>
    <t xml:space="preserve">SpO2 monitor reads low. WAO gives no cut-off; take it from MIMIC-IV-ED</t>
  </si>
  <si>
    <t xml:space="preserve">SpO2</t>
  </si>
  <si>
    <t xml:space="preserve">Table 2 criterion 1a p.5; Fig. 1 p.6</t>
  </si>
  <si>
    <t xml:space="preserve">SIGN-022</t>
  </si>
  <si>
    <t xml:space="preserve">reduced peak expiratory flow (PEF)</t>
  </si>
  <si>
    <t xml:space="preserve">Peak flow meter reads low (only if you model a peak flow meter)</t>
  </si>
  <si>
    <t xml:space="preserve">PEF</t>
  </si>
  <si>
    <t xml:space="preserve">SIGN-023</t>
  </si>
  <si>
    <t xml:space="preserve">Lips or fingertips turning bluish</t>
  </si>
  <si>
    <t xml:space="preserve">RCUK p.21, Fig. 6 p.25 (central cyanosis); EAACI Fig. 1 p.364 (F-18)</t>
  </si>
  <si>
    <t xml:space="preserve">SIGN-024</t>
  </si>
  <si>
    <t xml:space="preserve">Visible effort to breathe; using extra muscles to breathe</t>
  </si>
  <si>
    <t xml:space="preserve">RCUK p.21, Fig. 6 p.25 (increased work of breathing, fatigue) (F-18)</t>
  </si>
  <si>
    <t xml:space="preserve">SIGN-025</t>
  </si>
  <si>
    <t xml:space="preserve">Skin looks pale and feels clammy/sweaty</t>
  </si>
  <si>
    <t xml:space="preserve">RCUK p.21, Fig. 6 p.25 (pale, clammy skin); EAACI Fig. 1 p.364 (F-18)</t>
  </si>
  <si>
    <t xml:space="preserve">SIGN-026</t>
  </si>
  <si>
    <t xml:space="preserve">tachycardia (vital sign, not patient-spoken)</t>
  </si>
  <si>
    <t xml:space="preserve">HR monitor reads high</t>
  </si>
  <si>
    <t xml:space="preserve">HR</t>
  </si>
  <si>
    <t xml:space="preserve">RCUK p.21, Fig. 6 p.25 (significant tachycardia); EAACI Fig. 1 p.364 (F-18)</t>
  </si>
  <si>
    <t xml:space="preserve">field</t>
  </si>
  <si>
    <t xml:space="preserve">allowed_values</t>
  </si>
  <si>
    <t xml:space="preserve">required_for</t>
  </si>
  <si>
    <t xml:space="preserve">why_needed</t>
  </si>
  <si>
    <t xml:space="preserve">Under 10 y or 10 y and over (threshold rule); dose bands: 1-5 y, 6-12 y, teenager/adult</t>
  </si>
  <si>
    <t xml:space="preserve">Dose band; hypotension threshold</t>
  </si>
  <si>
    <t xml:space="preserve">Epinephrine dose band and the hypotension rule both depend on age</t>
  </si>
  <si>
    <t xml:space="preserve">Table 2 fn a p.5; Table 6 p.12</t>
  </si>
  <si>
    <t xml:space="preserve">Any positive weight; infants under 10 kg are dosed per kg</t>
  </si>
  <si>
    <t xml:space="preserve">Epinephrine dose</t>
  </si>
  <si>
    <t xml:space="preserve">0.01 mg/kg with a cap</t>
  </si>
  <si>
    <t xml:space="preserve">Patient's own normal systolic BP</t>
  </si>
  <si>
    <t xml:space="preserve">Hypotension rule</t>
  </si>
  <si>
    <t xml:space="preserve">Hypotension = more than 30% below baseline</t>
  </si>
  <si>
    <t xml:space="preserve">Table 2 fn a p.5</t>
  </si>
  <si>
    <t xml:space="preserve">sex</t>
  </si>
  <si>
    <t xml:space="preserve">enum</t>
  </si>
  <si>
    <t xml:space="preserve">female, male</t>
  </si>
  <si>
    <t xml:space="preserve">Uterine cramps symptom; premenstrual cofactor; pregnancy</t>
  </si>
  <si>
    <t xml:space="preserve">Some symptoms and cofactors apply only to female patients</t>
  </si>
  <si>
    <t xml:space="preserve">Table 7 p.13; Fig. 3 p.10</t>
  </si>
  <si>
    <t xml:space="preserve">True, False</t>
  </si>
  <si>
    <t xml:space="preserve">Semi-recumbent on the left side</t>
  </si>
  <si>
    <t xml:space="preserve">age_group_factor</t>
  </si>
  <si>
    <t xml:space="preserve">infant (cannot describe symptoms); adolescent/young adult (risk-taking); labour and delivery (medication risk); elderly (higher fatality risk from medication and venom); none</t>
  </si>
  <si>
    <t xml:space="preserve">Scenario variety; Brain 1 risk scaling</t>
  </si>
  <si>
    <t xml:space="preserve">Age-related factors that change presentation or risk</t>
  </si>
  <si>
    <t xml:space="preserve">trigger_group</t>
  </si>
  <si>
    <t xml:space="preserve">food; insect venom; drug; other (latex, seminal fluid, radiocontrast media, medical dyes, perioperative agents); idiopathic (no trigger found)</t>
  </si>
  <si>
    <t xml:space="preserve">Backstory; dialogue</t>
  </si>
  <si>
    <t xml:space="preserve">Trigger groups from Table 4 and p.11-12</t>
  </si>
  <si>
    <t xml:space="preserve">Table 4 p.9; p.11-12; Fig. 2 p.8</t>
  </si>
  <si>
    <t xml:space="preserve">trigger_item</t>
  </si>
  <si>
    <t xml:space="preserve">See Modifiers (food, venom, drug, other items)</t>
  </si>
  <si>
    <t xml:space="preserve">Specific elicitor</t>
  </si>
  <si>
    <t xml:space="preserve">Table 4 p.9; Modifiers sheet</t>
  </si>
  <si>
    <t xml:space="preserve">region</t>
  </si>
  <si>
    <t xml:space="preserve">North America/Australia; Asia; central Europe; southern Europe; Middle East; Korea</t>
  </si>
  <si>
    <t xml:space="preserve">Realistic trigger choice (optional)</t>
  </si>
  <si>
    <t xml:space="preserve">Elicitor profile varies by region and age</t>
  </si>
  <si>
    <t xml:space="preserve">cofactors</t>
  </si>
  <si>
    <t xml:space="preserve">multi-select</t>
  </si>
  <si>
    <t xml:space="preserve">exercise; acute infection; emotional stress; disruption of routine/travel; premenstrual status; sleep deprivation; alcohol intake; physical activity; psychological burden</t>
  </si>
  <si>
    <t xml:space="preserve">Brain 1 risk scaling; backstory</t>
  </si>
  <si>
    <t xml:space="preserve">Cofactors can change onset and severity</t>
  </si>
  <si>
    <t xml:space="preserve">Fig. 3 p.10; Table 5 p.11; p.14</t>
  </si>
  <si>
    <t xml:space="preserve">concomitant_diseases</t>
  </si>
  <si>
    <t xml:space="preserve">asthma/other respiratory disease (unstable asthma); cardiovascular disease; allergic rhinitis/eczema (atopic disease); psychiatric illness (e.g. depression); mastocytosis/clonal mast cell disorder</t>
  </si>
  <si>
    <t xml:space="preserve">Brain 1 risk scaling</t>
  </si>
  <si>
    <t xml:space="preserve">Underlying disease can increase severity</t>
  </si>
  <si>
    <t xml:space="preserve">concurrent_medication</t>
  </si>
  <si>
    <t xml:space="preserve">beta-blockers; ACE inhibitors; NSAIDs; ethanol, sedatives, hypnotics, antidepressants, recreational drugs (may affect recognition)</t>
  </si>
  <si>
    <t xml:space="preserve">Glucagon relevance; recognition delay</t>
  </si>
  <si>
    <t xml:space="preserve">Medication can influence outcome or hide symptoms</t>
  </si>
  <si>
    <t xml:space="preserve">Fig. 3 p.10; p.14; p.16</t>
  </si>
  <si>
    <t xml:space="preserve">Poor-response variant</t>
  </si>
  <si>
    <t xml:space="preserve">Glucagon if response to epinephrine is poor, especially on beta-blockers</t>
  </si>
  <si>
    <t xml:space="preserve">True, False (10-20% of reactions have no skin signs)</t>
  </si>
  <si>
    <t xml:space="preserve">Diagnosis path</t>
  </si>
  <si>
    <t xml:space="preserve">No-skin variant uses Table 2 criterion 2</t>
  </si>
  <si>
    <t xml:space="preserve">paediatric_variant</t>
  </si>
  <si>
    <t xml:space="preserve">Drooling symptom; hypotension formula; dose band</t>
  </si>
  <si>
    <t xml:space="preserve">Some symptoms and thresholds apply only to children</t>
  </si>
  <si>
    <t xml:space="preserve">p.17; Table 2 fn a p.5</t>
  </si>
  <si>
    <t xml:space="preserve">collapse_variant</t>
  </si>
  <si>
    <t xml:space="preserve">conscious_hypotensive; unconscious</t>
  </si>
  <si>
    <t xml:space="preserve">Collapse-state speech and symptoms</t>
  </si>
  <si>
    <t xml:space="preserve">Grade 5 wording is 'and/or'</t>
  </si>
  <si>
    <t xml:space="preserve">Table 7 p.13-14; State_Communication</t>
  </si>
  <si>
    <t xml:space="preserve">onset_after_exposure</t>
  </si>
  <si>
    <t xml:space="preserve">duration</t>
  </si>
  <si>
    <t xml:space="preserve">Minutes to several hours (no exact value given)</t>
  </si>
  <si>
    <t xml:space="preserve">Onset window from the diagnostic criteria; some triggers (e.g. alpha-gal) are delayed</t>
  </si>
  <si>
    <t xml:space="preserve">Table 2 p.5; p.5</t>
  </si>
  <si>
    <t xml:space="preserve">prior_anaphylaxis</t>
  </si>
  <si>
    <t xml:space="preserve">Self-management history</t>
  </si>
  <si>
    <t xml:space="preserve">Patients with prior anaphylaxis should have an emergency protocol and auto-injector</t>
  </si>
  <si>
    <t xml:space="preserve">has_epinephrine_autoinjector</t>
  </si>
  <si>
    <t xml:space="preserve">Scenario variety</t>
  </si>
  <si>
    <t xml:space="preserve">Auto-injector availability differs by country and patient</t>
  </si>
  <si>
    <t xml:space="preserve">p.16-18</t>
  </si>
  <si>
    <t xml:space="preserve">mast_cell_disorder</t>
  </si>
  <si>
    <t xml:space="preserve">Idiopathic or severe variants</t>
  </si>
  <si>
    <t xml:space="preserve">Mast cell disorders should be considered even when a trigger is found</t>
  </si>
  <si>
    <t xml:space="preserve">p.11; p.14; Table 5</t>
  </si>
  <si>
    <t xml:space="preserve">dx_id</t>
  </si>
  <si>
    <t xml:space="preserve">group</t>
  </si>
  <si>
    <t xml:space="preserve">condition</t>
  </si>
  <si>
    <t xml:space="preserve">emergism_link</t>
  </si>
  <si>
    <t xml:space="preserve">DD-01</t>
  </si>
  <si>
    <t xml:space="preserve">Common diagnostic dilemmas</t>
  </si>
  <si>
    <t xml:space="preserve">Acute asthma</t>
  </si>
  <si>
    <t xml:space="preserve">Can also occur during an anaphylactic episode</t>
  </si>
  <si>
    <t xml:space="preserve">Table 3 p.7</t>
  </si>
  <si>
    <t xml:space="preserve">DD-02</t>
  </si>
  <si>
    <t xml:space="preserve">Syncope (faint)</t>
  </si>
  <si>
    <t xml:space="preserve">DD-03</t>
  </si>
  <si>
    <t xml:space="preserve">Anxiety / panic attack</t>
  </si>
  <si>
    <t xml:space="preserve">DD-04</t>
  </si>
  <si>
    <t xml:space="preserve">Acute generalized urticaria</t>
  </si>
  <si>
    <t xml:space="preserve">DD-05</t>
  </si>
  <si>
    <t xml:space="preserve">Aspiration of a foreign body</t>
  </si>
  <si>
    <t xml:space="preserve">DD-06</t>
  </si>
  <si>
    <t xml:space="preserve">Cardiovascular: myocardial infarction</t>
  </si>
  <si>
    <t xml:space="preserve">MI FSM (Limitation 5, comorbid presentations)</t>
  </si>
  <si>
    <t xml:space="preserve">DD-07</t>
  </si>
  <si>
    <t xml:space="preserve">Cardiovascular: pulmonary embolus</t>
  </si>
  <si>
    <t xml:space="preserve">DD-08</t>
  </si>
  <si>
    <t xml:space="preserve">Neurologic events (seizure, cerebrovascular event)</t>
  </si>
  <si>
    <t xml:space="preserve">DD-09</t>
  </si>
  <si>
    <t xml:space="preserve">Postprandial syndromes</t>
  </si>
  <si>
    <t xml:space="preserve">Scombroidosis</t>
  </si>
  <si>
    <t xml:space="preserve">Histamine poisoning from fish stored at a raised temperature; usually more than one person affected</t>
  </si>
  <si>
    <t xml:space="preserve">DD-10</t>
  </si>
  <si>
    <t xml:space="preserve">Pollen-food allergy syndrome</t>
  </si>
  <si>
    <t xml:space="preserve">Oral symptoms after raw (not cooked) fruit or vegetables</t>
  </si>
  <si>
    <t xml:space="preserve">DD-11</t>
  </si>
  <si>
    <t xml:space="preserve">Monosodium glutamate</t>
  </si>
  <si>
    <t xml:space="preserve">DD-12</t>
  </si>
  <si>
    <t xml:space="preserve">Sulfites</t>
  </si>
  <si>
    <t xml:space="preserve">DD-13</t>
  </si>
  <si>
    <t xml:space="preserve">Food poisoning</t>
  </si>
  <si>
    <t xml:space="preserve">DD-14</t>
  </si>
  <si>
    <t xml:space="preserve">Excess endogenous histamine</t>
  </si>
  <si>
    <t xml:space="preserve">Mastocytosis / clonal mast cell disorders</t>
  </si>
  <si>
    <t xml:space="preserve">Increased anaphylaxis risk; may be the first manifestation</t>
  </si>
  <si>
    <t xml:space="preserve">DD-15</t>
  </si>
  <si>
    <t xml:space="preserve">Basophilic leukemia</t>
  </si>
  <si>
    <t xml:space="preserve">DD-16</t>
  </si>
  <si>
    <t xml:space="preserve">Flush syndromes</t>
  </si>
  <si>
    <t xml:space="preserve">Peri-menopause</t>
  </si>
  <si>
    <t xml:space="preserve">DD-17</t>
  </si>
  <si>
    <t xml:space="preserve">Carcinoid syndrome</t>
  </si>
  <si>
    <t xml:space="preserve">DD-18</t>
  </si>
  <si>
    <t xml:space="preserve">Autonomic epilepsy</t>
  </si>
  <si>
    <t xml:space="preserve">DD-19</t>
  </si>
  <si>
    <t xml:space="preserve">Medullary carcinoma of the thyroid</t>
  </si>
  <si>
    <t xml:space="preserve">DD-20</t>
  </si>
  <si>
    <t xml:space="preserve">Nonorganic disease</t>
  </si>
  <si>
    <t xml:space="preserve">Vocal cord dysfunction</t>
  </si>
  <si>
    <t xml:space="preserve">DD-21</t>
  </si>
  <si>
    <t xml:space="preserve">Hyperventilation</t>
  </si>
  <si>
    <t xml:space="preserve">DD-22</t>
  </si>
  <si>
    <t xml:space="preserve">Psychosomatic episode</t>
  </si>
  <si>
    <t xml:space="preserve">DD-23</t>
  </si>
  <si>
    <t xml:space="preserve">Shock</t>
  </si>
  <si>
    <t xml:space="preserve">Hypovolemic</t>
  </si>
  <si>
    <t xml:space="preserve">DD-24</t>
  </si>
  <si>
    <t xml:space="preserve">Cardiogenic</t>
  </si>
  <si>
    <t xml:space="preserve">DD-25</t>
  </si>
  <si>
    <t xml:space="preserve">Distributive</t>
  </si>
  <si>
    <t xml:space="preserve">May be due to anaphylaxis or spinal cord injury</t>
  </si>
  <si>
    <t xml:space="preserve">DD-26</t>
  </si>
  <si>
    <t xml:space="preserve">Septic</t>
  </si>
  <si>
    <t xml:space="preserve">DD-27</t>
  </si>
  <si>
    <t xml:space="preserve">Nonallergic angioedema</t>
  </si>
  <si>
    <t xml:space="preserve">DD-28</t>
  </si>
  <si>
    <t xml:space="preserve">Hereditary angioedema types I, II and III</t>
  </si>
  <si>
    <t xml:space="preserve">DD-29</t>
  </si>
  <si>
    <t xml:space="preserve">ACE inhibitor-associated angioedema</t>
  </si>
  <si>
    <t xml:space="preserve">DD-30</t>
  </si>
  <si>
    <t xml:space="preserve">Systemic capillary leak syndrome</t>
  </si>
  <si>
    <t xml:space="preserve">DD-31</t>
  </si>
  <si>
    <t xml:space="preserve">Red man syndrome (vancomycin)</t>
  </si>
  <si>
    <t xml:space="preserve">DD-32</t>
  </si>
  <si>
    <t xml:space="preserve">Pheochromocytoma (paradoxical response)</t>
  </si>
  <si>
    <t xml:space="preserve">fact_id</t>
  </si>
  <si>
    <t xml:space="preserve">fact</t>
  </si>
  <si>
    <t xml:space="preserve">EF-01</t>
  </si>
  <si>
    <t xml:space="preserve">epidemiology</t>
  </si>
  <si>
    <t xml:space="preserve">Global incidence of anaphylaxis and lifetime prevalence</t>
  </si>
  <si>
    <t xml:space="preserve">50-112 episodes per 100,000 person-years; lifetime prevalence 0.3-5.1%</t>
  </si>
  <si>
    <t xml:space="preserve">p.3</t>
  </si>
  <si>
    <t xml:space="preserve">EF-02</t>
  </si>
  <si>
    <t xml:space="preserve">Incidence in children</t>
  </si>
  <si>
    <t xml:space="preserve">1-761 per 100,000 person-years</t>
  </si>
  <si>
    <t xml:space="preserve">EF-03</t>
  </si>
  <si>
    <t xml:space="preserve">Recurrence of reactions during follow-up</t>
  </si>
  <si>
    <t xml:space="preserve">26.5-54.0% over 1.5-25 years</t>
  </si>
  <si>
    <t xml:space="preserve">EF-04</t>
  </si>
  <si>
    <t xml:space="preserve">Hospitalizations show an increasing trend, but mortality remains low</t>
  </si>
  <si>
    <t xml:space="preserve">Mortality per million people per year: drugs 0.05-0.51; food 0.03-0.32; venom 0.09-0.13</t>
  </si>
  <si>
    <t xml:space="preserve">EF-05</t>
  </si>
  <si>
    <t xml:space="preserve">Idiopathic anaphylaxis (no trigger identified)</t>
  </si>
  <si>
    <t xml:space="preserve">6.5-35.0% of cases</t>
  </si>
  <si>
    <t xml:space="preserve">EF-06</t>
  </si>
  <si>
    <t xml:space="preserve">Drugs are mentioned as a main cause of anaphylaxis deaths in adults</t>
  </si>
  <si>
    <t xml:space="preserve">EF-07</t>
  </si>
  <si>
    <t xml:space="preserve">grading</t>
  </si>
  <si>
    <t xml:space="preserve">No consensus on a severity scoring system; 23 systems were compared and their validation is lacking</t>
  </si>
  <si>
    <t xml:space="preserve">23 systems</t>
  </si>
  <si>
    <t xml:space="preserve">p.16-17; p.19</t>
  </si>
  <si>
    <t xml:space="preserve">EF-08</t>
  </si>
  <si>
    <t xml:space="preserve">diagnostics</t>
  </si>
  <si>
    <t xml:space="preserve">Consensus equation for acute mast cell activation: peak tryptase greater than 1.2 x baseline + 2 ng/L; it cannot detect all anaphylactic reactions</t>
  </si>
  <si>
    <t xml:space="preserve">1.2 x baseline + 2 ng/L</t>
  </si>
  <si>
    <t xml:space="preserve">EF-09</t>
  </si>
  <si>
    <t xml:space="preserve">36-40% of reactions keep tryptase below 11.4 (unit printed as 'mg/L' in the PDF)</t>
  </si>
  <si>
    <t xml:space="preserve">36-40%</t>
  </si>
  <si>
    <t xml:space="preserve">EF-10</t>
  </si>
  <si>
    <t xml:space="preserve">Tryptase testing is available in less than 3% of the countries in the WAO survey</t>
  </si>
  <si>
    <t xml:space="preserve">&lt;3%</t>
  </si>
  <si>
    <t xml:space="preserve">EF-11</t>
  </si>
  <si>
    <t xml:space="preserve">availability</t>
  </si>
  <si>
    <t xml:space="preserve">Epinephrine auto-injectors are available in only 32% of 195 countries, mostly high-income; 60% of the 42 survey countries declared having them</t>
  </si>
  <si>
    <t xml:space="preserve">32%; 60%</t>
  </si>
  <si>
    <t xml:space="preserve">p.18-19</t>
  </si>
  <si>
    <t xml:space="preserve">EF-12</t>
  </si>
  <si>
    <t xml:space="preserve">National policies for auto-injectors in public settings (schools, transport, parks) exist in few countries</t>
  </si>
  <si>
    <t xml:space="preserve">16%</t>
  </si>
  <si>
    <t xml:space="preserve">p.20</t>
  </si>
  <si>
    <t xml:space="preserve">EF-13</t>
  </si>
  <si>
    <t xml:space="preserve">practice</t>
  </si>
  <si>
    <t xml:space="preserve">Anaphylaxis is often poorly recognised, partly because of variable diagnostic criteria; this delays treatment</t>
  </si>
  <si>
    <t xml:space="preserve">EF-14</t>
  </si>
  <si>
    <t xml:space="preserve">Most cases are first seen by emergency doctors or general practitioners, but only about half are referred to a specialist</t>
  </si>
  <si>
    <t xml:space="preserve">~50%</t>
  </si>
  <si>
    <t xml:space="preserve">EF-15</t>
  </si>
  <si>
    <t xml:space="preserve">Advice on trigger avoidance and emergency protocols at discharge from the ED is practically non-existent in the international survey</t>
  </si>
  <si>
    <t xml:space="preserve">EF-16</t>
  </si>
  <si>
    <t xml:space="preserve">Patients with recurrences often do not use their epinephrine auto-injector</t>
  </si>
  <si>
    <t xml:space="preserve">EF-17</t>
  </si>
  <si>
    <t xml:space="preserve">Antihistamines and corticosteroids remain the most frequently used drugs to treat anaphylaxis, although epinephrine is first-line (common trainee error)</t>
  </si>
  <si>
    <t xml:space="preserve">EF-18</t>
  </si>
  <si>
    <t xml:space="preserve">timing</t>
  </si>
  <si>
    <t xml:space="preserve">Median time from exposure to cardiorespiratory arrest by trigger</t>
  </si>
  <si>
    <t xml:space="preserve">IV medication: ~5 min; insect sting/venom: 10-15 min; food: ~30 min. Arrest more than 4 h after exposure is rare</t>
  </si>
  <si>
    <t xml:space="preserve">RCUK 2021 p.17 (Fig. 4), corroborating Pumphrey 2000</t>
  </si>
  <si>
    <t xml:space="preserve">EF-19</t>
  </si>
  <si>
    <t xml:space="preserve">Peak IM adrenaline absorption</t>
  </si>
  <si>
    <t xml:space="preserve">5-10 min after injection</t>
  </si>
  <si>
    <t xml:space="preserve">EF-20</t>
  </si>
  <si>
    <t xml:space="preserve">Anaphylaxis incidence and lifetime risk (Europe)</t>
  </si>
  <si>
    <t xml:space="preserve">1.5-7.9 per 100,000 person-years; about 1 in 300 people will experience anaphylaxis in their lifetime</t>
  </si>
  <si>
    <t xml:space="preserve">RCUK 2021 p.15</t>
  </si>
  <si>
    <t xml:space="preserve">EF-21</t>
  </si>
  <si>
    <t xml:space="preserve">UK case fatality rate and annual deaths</t>
  </si>
  <si>
    <t xml:space="preserve">Under 1% case fatality in those presenting to UK hospitals; mortality &lt;1 per million per year in the general population; approx. 20-30 deaths per year in the UK (~10 food-related, ~10 peri-operative)</t>
  </si>
  <si>
    <t xml:space="preserve">EF-22</t>
  </si>
  <si>
    <t xml:space="preserve">UK hospital admissions trend</t>
  </si>
  <si>
    <t xml:space="preserve">174% increase in anaphylaxis admissions 1998-2018 (4.2 to 11.5 per 100,000); fatalities have remained stable over the same period; about 30% of admissions are food-induced</t>
  </si>
  <si>
    <t xml:space="preserve">RCUK 2021 p.17</t>
  </si>
  <si>
    <t xml:space="preserve">EF-23</t>
  </si>
  <si>
    <t xml:space="preserve">Fatality risk by trigger and age</t>
  </si>
  <si>
    <t xml:space="preserve">Greatest risk of fatal food anaphylaxis is in teenagers and adults up to age 30. Fatal drug-induced anaphylaxis is rare in children and highest in the elderly (comorbidities, beta-blockers, ACE inhibitors)</t>
  </si>
  <si>
    <t xml:space="preserve">EF-24</t>
  </si>
  <si>
    <t xml:space="preserve">Fatal trigger breakdown (UK)</t>
  </si>
  <si>
    <t xml:space="preserve">Food accounts for 19% of anaphylaxis deaths (50% of these from peanut/tree nuts, 11% overall/26% in children from cow's milk); medication 39% of deaths; insect stings 14% of deaths</t>
  </si>
  <si>
    <t xml:space="preserve">RCUK 2021 p.16 (Table 1)</t>
  </si>
  <si>
    <t xml:space="preserve">EF-25</t>
  </si>
  <si>
    <t xml:space="preserve">Recurrence risk after a previous anaphylaxis</t>
  </si>
  <si>
    <t xml:space="preserve">Approximately 1 in 12 per year in the UK; 2.6-3.6 per 100 person-years in US studies; 1.4 per 100 person-years even in children admitted to paediatric ICU</t>
  </si>
  <si>
    <t xml:space="preserve">RCUK 2021 p.16</t>
  </si>
  <si>
    <t xml:space="preserve">EF-26</t>
  </si>
  <si>
    <t xml:space="preserve">Use of multiple epinephrine doses in the community</t>
  </si>
  <si>
    <t xml:space="preserve">Around 10% of community anaphylaxis episodes receive a second adrenaline dose; 2.2% (95% CI 1.1-4.1%) receive more than two doses; less than 1% of reactions are refractory to initial adrenaline treatment</t>
  </si>
  <si>
    <t xml:space="preserve">RCUK 2021 p.27, p.34</t>
  </si>
  <si>
    <t xml:space="preserve">EF-27</t>
  </si>
  <si>
    <t xml:space="preserve">Fatal outcomes despite timely adrenaline</t>
  </si>
  <si>
    <t xml:space="preserve">UK Fatal Anaphylaxis Registry: about one third of food-anaphylaxis deaths occur despite a timely first adrenaline dose, suggesting inadequate SUBSEQUENT resuscitation (not delayed first dose) is often the issue</t>
  </si>
  <si>
    <t xml:space="preserve">RCUK 2021 p.34</t>
  </si>
  <si>
    <t xml:space="preserve">EF-28</t>
  </si>
  <si>
    <t xml:space="preserve">pathophysiology</t>
  </si>
  <si>
    <t xml:space="preserve">Fluid extravasation in anaphylaxis</t>
  </si>
  <si>
    <t xml:space="preserve">Increases in haematocrit indicate extravasation of up to 35% of circulating blood volume within 10 minutes of reaction onset (peri-operative case series)</t>
  </si>
  <si>
    <t xml:space="preserve">RCUK 2021 p.19 (Fisher)</t>
  </si>
  <si>
    <t xml:space="preserve">EF-29</t>
  </si>
  <si>
    <t xml:space="preserve">diagnosis</t>
  </si>
  <si>
    <t xml:space="preserve">No obvious trigger identified</t>
  </si>
  <si>
    <t xml:space="preserve">In up to 30% of cases there is no obvious trigger (RCUK); WAO/EAACI figures range 6.5-35%</t>
  </si>
  <si>
    <t xml:space="preserve">RCUK 2021 p.14</t>
  </si>
  <si>
    <t xml:space="preserve">EF-30</t>
  </si>
  <si>
    <t xml:space="preserve">Skin/mucosal involvement</t>
  </si>
  <si>
    <t xml:space="preserve">Present in over 80% of anaphylaxis reactions per RCUK/Sampson (consistent with WAO's 'absent in 10-20%')</t>
  </si>
  <si>
    <t xml:space="preserve">RCUK 2021 p.22</t>
  </si>
  <si>
    <t xml:space="preserve">EF-31</t>
  </si>
  <si>
    <t xml:space="preserve">investigations</t>
  </si>
  <si>
    <t xml:space="preserve">RCUK tryptase timing (current default)</t>
  </si>
  <si>
    <t xml:space="preserve">Take a sample as soon as feasible without delaying treatment. Minimum: one sample within 2 h (no later than 4 h). Ideally 3 samples: immediate, 1-2 h (max 4 h), and a baseline at least 24 h after full resolution. Tryptase may not rise until 30 min or more after onset, peaks at 1-2 h, half-life ~2 h, may normalise within 6-8 h</t>
  </si>
  <si>
    <t xml:space="preserve">RCUK 2021 p.40-41</t>
  </si>
  <si>
    <t xml:space="preserve">EF-32</t>
  </si>
  <si>
    <t xml:space="preserve">Raised tryptase thresholds (RCUK)</t>
  </si>
  <si>
    <t xml:space="preserve">Three accepted definitions: (1) exceeding 11.4 or 14 micrograms/L (95th/99th percentile of normal); (2) exceeding [baseline x 1.2] + 2 micrograms/L; (3) any increase from a documented pre-reaction level</t>
  </si>
  <si>
    <t xml:space="preserve">RCUK 2021 p.41</t>
  </si>
  <si>
    <t xml:space="preserve">Device dose recommended</t>
  </si>
  <si>
    <t xml:space="preserve">Most guidelines recommend a 0.5 mg dose in older children and adults over 50 kg, but 0.5 mg devices are generally not available in most countries</t>
  </si>
  <si>
    <t xml:space="preserve">PDF prints '500 mg (0.5 mg)'; use 0.5 mg (F-04)</t>
  </si>
  <si>
    <t xml:space="preserve">0.3 mg device and needle length</t>
  </si>
  <si>
    <t xml:space="preserve">Ultrasound studies (not clinical trials) suggest the needle may be too short for an IM dose in many patients weighing more than 30 kg</t>
  </si>
  <si>
    <t xml:space="preserve">PDF prints '300 mg (0.3 mg)'</t>
  </si>
  <si>
    <t xml:space="preserve">'Junior' device in small children</t>
  </si>
  <si>
    <t xml:space="preserve">Risk of intraosseous injection in young children weighing less than 15 kg</t>
  </si>
  <si>
    <t xml:space="preserve">0.1 mg device</t>
  </si>
  <si>
    <t xml:space="preserve">Lower dose and shorter needle; may suit children weighing 7.5-15 kg</t>
  </si>
  <si>
    <t xml:space="preserve">Device with cues</t>
  </si>
  <si>
    <t xml:space="preserve">An auto-injector exists that gives audio and visual cues to the patient</t>
  </si>
  <si>
    <t xml:space="preserve">Sublingual tablets</t>
  </si>
  <si>
    <t xml:space="preserve">Rapidly disintegrating epinephrine sublingual tablets are in development, not yet approved</t>
  </si>
  <si>
    <t xml:space="preserve">Technique</t>
  </si>
  <si>
    <t xml:space="preserve">Inject rapidly IM into the mid-anterolateral thigh, hold about 3-10 s, then call for medical assistance</t>
  </si>
  <si>
    <t xml:space="preserve">Where auto-injectors are not available or affordable</t>
  </si>
  <si>
    <t xml:space="preserve">Prefilled epinephrine syringe; or a 1-mL syringe/needle with an ampoule, with training and written instructions to draw up the correct dose</t>
  </si>
  <si>
    <t xml:space="preserve">Also see PS-14</t>
  </si>
  <si>
    <t xml:space="preserve">Prescription and training</t>
  </si>
  <si>
    <t xml:space="preserve">Patients should be prescribed one or more auto-injectors and be taught why, when and how to inject; carry a personalised written action plan</t>
  </si>
  <si>
    <t xml:space="preserve">Also see PS-02, PS-03, PS-13</t>
  </si>
  <si>
    <t xml:space="preserve">Availability</t>
  </si>
  <si>
    <t xml:space="preserve">Auto-injectors are limited to 32% of 195 countries, mostly high-income; the 'suitcase trade' is unreliable and undesirable; cost is a problem for low-income families</t>
  </si>
  <si>
    <t xml:space="preserve">Also see Extra_Facts</t>
  </si>
  <si>
    <t xml:space="preserve">Essential medicine</t>
  </si>
  <si>
    <t xml:space="preserve">Epinephrine is an essential medication for anaphylaxis per the WHO; WAO advocates adding auto-injectors to the WHO Model List of Essential Medicines</t>
  </si>
  <si>
    <t xml:space="preserve">population</t>
  </si>
  <si>
    <t xml:space="preserve">bolus_dose</t>
  </si>
  <si>
    <t xml:space="preserve">crystalloid_type</t>
  </si>
  <si>
    <t xml:space="preserve">max_volume_severe</t>
  </si>
  <si>
    <t xml:space="preserve">repeat</t>
  </si>
  <si>
    <t xml:space="preserve">Child</t>
  </si>
  <si>
    <t xml:space="preserve">10 mL/kg rapid IV bolus</t>
  </si>
  <si>
    <t xml:space="preserve">Non-glucose crystalloid, sodium 130-154 mmol/L (0.9% NaCl or Hartmann's) for initial resuscitation</t>
  </si>
  <si>
    <t xml:space="preserve">Up to 3-5 L in adults for severe anaphylactic shock (scale down for children by weight)</t>
  </si>
  <si>
    <t xml:space="preserve">Give further fluids as necessary; monitor response</t>
  </si>
  <si>
    <t xml:space="preserve">RCUK 2021 p.31</t>
  </si>
  <si>
    <t xml:space="preserve">For large volumes, prefer a non-glucose crystalloid (e.g. Hartmann's/Plasma-Lyte) over 0.9% NaCl to avoid hyperchloraemia. Colloids are NOT recommended (a recognised cause of anaphylaxis)</t>
  </si>
  <si>
    <t xml:space="preserve">Adult</t>
  </si>
  <si>
    <t xml:space="preserve">500-1000 mL rapid IV bolus</t>
  </si>
  <si>
    <t xml:space="preserve">Up to 3-5 L in adults for severe anaphylactic shock</t>
  </si>
  <si>
    <t xml:space="preserve">Give via IO route if IV access is delayed. Ensure a repeat IM epinephrine dose is also given after 5 min if symptoms persist while securing access</t>
  </si>
  <si>
    <t xml:space="preserve">WAO 2020 (Fig. 4 version)</t>
  </si>
  <si>
    <t xml:space="preserve">5-10 mL/kg in the first 5-10 min (approx. 1-2 L total)</t>
  </si>
  <si>
    <t xml:space="preserve">0.9% saline</t>
  </si>
  <si>
    <t xml:space="preserve">Not stated</t>
  </si>
  <si>
    <t xml:space="preserve">Repeat as needed</t>
  </si>
  <si>
    <t xml:space="preserve">WAO Fig. 4 p.11</t>
  </si>
  <si>
    <t xml:space="preserve">Conflicts with WAO's own text version below (flag F-03)</t>
  </si>
  <si>
    <t xml:space="preserve">10 mL/kg</t>
  </si>
  <si>
    <t xml:space="preserve">WAO 2020 (text version)</t>
  </si>
  <si>
    <t xml:space="preserve">Cardiovascular instability (any age)</t>
  </si>
  <si>
    <t xml:space="preserve">20 mL/kg bolus</t>
  </si>
  <si>
    <t xml:space="preserve">Crystalloid</t>
  </si>
  <si>
    <t xml:space="preserve">WAO text p.15</t>
  </si>
  <si>
    <t xml:space="preserve">Conflicts with WAO's own Fig. 4 version above (flag F-03)</t>
  </si>
  <si>
    <t xml:space="preserve">10 mL/kg per bolus, max 500 mL per bolus</t>
  </si>
  <si>
    <t xml:space="preserve">Crystalloid (preferred)</t>
  </si>
  <si>
    <t xml:space="preserve">Repeated as needed</t>
  </si>
  <si>
    <t xml:space="preserve">EAACI Fig. 1 p.364; p.365</t>
  </si>
  <si>
    <t xml:space="preserve">Given early with the first adrenaline dose if cardiovascular involvement</t>
  </si>
  <si>
    <t xml:space="preserve">500 mL per bolus</t>
  </si>
  <si>
    <t xml:space="preserve">Also considered with a second IM epinephrine dose in severe respiratory presentations</t>
  </si>
  <si>
    <t xml:space="preserve">interval</t>
  </si>
  <si>
    <t xml:space="preserve">Fixed: repeat after 5 minutes if no improvement</t>
  </si>
  <si>
    <t xml:space="preserve">Peak IM absorption occurs 5-10 min after injection; if no improvement after 2 doses, treat as refractory anaphylaxis and escalate (see Bundle_Sequence, Refractory_Drug_Doses)</t>
  </si>
  <si>
    <t xml:space="preserve">RCUK 2021 p.29, p.34</t>
  </si>
  <si>
    <t xml:space="preserve">Range: repeat every 5-15 minutes if refractory</t>
  </si>
  <si>
    <t xml:space="preserve">Most patients respond to 1-2 doses</t>
  </si>
  <si>
    <t xml:space="preserve">WAO p.15</t>
  </si>
  <si>
    <t xml:space="preserve">Repeat if no improvement, or worsening, 5-10 min after the first dose</t>
  </si>
  <si>
    <t xml:space="preserve">Box 3 checklist for managing an acute allergic reaction</t>
  </si>
  <si>
    <t xml:space="preserve">EAACI Box 3 p.363</t>
  </si>
  <si>
    <t xml:space="preserve">step_order</t>
  </si>
  <si>
    <t xml:space="preserve">step_description</t>
  </si>
  <si>
    <t xml:space="preserve">required_for_transition</t>
  </si>
  <si>
    <t xml:space="preserve">ABCDE assessment; recognise the greatest threat to life</t>
  </si>
  <si>
    <t xml:space="preserve">Always</t>
  </si>
  <si>
    <t xml:space="preserve">RCUK Fig. 6 p.25</t>
  </si>
  <si>
    <t xml:space="preserve">Remove the trigger if possible (stop drug/infusion, remove sting)</t>
  </si>
  <si>
    <t xml:space="preserve">If a removable trigger is present</t>
  </si>
  <si>
    <t xml:space="preserve">RCUK p.26</t>
  </si>
  <si>
    <t xml:space="preserve">Give IM adrenaline as soon as possible</t>
  </si>
  <si>
    <t xml:space="preserve">Yes (this is the FSM's required action for this state)</t>
  </si>
  <si>
    <t xml:space="preserve">Always, once Airway/Breathing/Circulation problems are present</t>
  </si>
  <si>
    <t xml:space="preserve">RCUK Fig. 6 p.25; p.28</t>
  </si>
  <si>
    <t xml:space="preserve">Call for help (resuscitation team / 999)</t>
  </si>
  <si>
    <t xml:space="preserve">Position the patient (lying flat + legs raised; semi-recumbent if breathing difficulty; pregnant: left side; unconscious: recovery position)</t>
  </si>
  <si>
    <t xml:space="preserve">Always; never let the patient stand/sit up suddenly (C-04)</t>
  </si>
  <si>
    <t xml:space="preserve">RCUK p.26-27</t>
  </si>
  <si>
    <t xml:space="preserve">Give high-flow oxygen as soon as available</t>
  </si>
  <si>
    <t xml:space="preserve">RCUK p.31</t>
  </si>
  <si>
    <t xml:space="preserve">Attach monitoring (pulse oximetry, BP, ECG) as soon as possible</t>
  </si>
  <si>
    <t xml:space="preserve">Should not delay adrenaline</t>
  </si>
  <si>
    <t xml:space="preserve">RCUK p.28-29</t>
  </si>
  <si>
    <t xml:space="preserve">Repeat IM adrenaline after 5 minutes (same action, repeated)</t>
  </si>
  <si>
    <t xml:space="preserve">Conditional</t>
  </si>
  <si>
    <t xml:space="preserve">Only if no improvement at 5 min</t>
  </si>
  <si>
    <t xml:space="preserve">RCUK p.29</t>
  </si>
  <si>
    <t xml:space="preserve">Secure IV/IO access and give an IV fluid bolus</t>
  </si>
  <si>
    <t xml:space="preserve">If hypotension/shock or poor response to the first adrenaline dose</t>
  </si>
  <si>
    <t xml:space="preserve">Remove the trigger if possible</t>
  </si>
  <si>
    <t xml:space="preserve">Give IM adrenaline (or repeat if already given) as soon as possible</t>
  </si>
  <si>
    <t xml:space="preserve">Position the patient; avoid sudden posture change</t>
  </si>
  <si>
    <t xml:space="preserve">Nebulized adrenaline as an adjunct for upper airway obstruction</t>
  </si>
  <si>
    <t xml:space="preserve">No (adjunct only)</t>
  </si>
  <si>
    <t xml:space="preserve">Only after IM/IV adrenaline, not instead of it</t>
  </si>
  <si>
    <t xml:space="preserve">RCUK p.30</t>
  </si>
  <si>
    <t xml:space="preserve">Repeat IM adrenaline after 5 minutes if no improvement (same action, repeated)</t>
  </si>
  <si>
    <t xml:space="preserve">If no improvement at 5 min</t>
  </si>
  <si>
    <t xml:space="preserve">IV fluid bolus</t>
  </si>
  <si>
    <t xml:space="preserve">If hypotension/shock or poor response</t>
  </si>
  <si>
    <t xml:space="preserve">Rapid ABCDE reassessment; treat the greatest threat to life first</t>
  </si>
  <si>
    <t xml:space="preserve">RCUK p.34</t>
  </si>
  <si>
    <t xml:space="preserve">Repeat/confirm 2 appropriate doses of IM adrenaline have been given (same action, repeated)</t>
  </si>
  <si>
    <t xml:space="preserve">Yes, if fewer than 2 doses given so far</t>
  </si>
  <si>
    <t xml:space="preserve">Refractory anaphylaxis is defined as no improvement despite 2 appropriate IM doses</t>
  </si>
  <si>
    <t xml:space="preserve">RCUK p.34-35</t>
  </si>
  <si>
    <t xml:space="preserve">Escalate: call critical care / resuscitation team early</t>
  </si>
  <si>
    <t xml:space="preserve">Always once refractory</t>
  </si>
  <si>
    <t xml:space="preserve">Start a low-dose IV adrenaline infusion (by experienced specialists)</t>
  </si>
  <si>
    <t xml:space="preserve">Yes, once 2 IM doses have failed to improve symptoms</t>
  </si>
  <si>
    <t xml:space="preserve">See Refractory_Drug_Doses for the infusion protocol</t>
  </si>
  <si>
    <t xml:space="preserve">RCUK p.36-37</t>
  </si>
  <si>
    <t xml:space="preserve">Continue IM adrenaline every 5 minutes AND give a fluid bolus while the infusion is being set up</t>
  </si>
  <si>
    <t xml:space="preserve">If the infusion cannot be started immediately</t>
  </si>
  <si>
    <t xml:space="preserve">RCUK p.35, p.37</t>
  </si>
  <si>
    <t xml:space="preserve">Consider glucagon</t>
  </si>
  <si>
    <t xml:space="preserve">If the patient is on a beta-blocker and remains refractory to adrenaline infusion plus fluids</t>
  </si>
  <si>
    <t xml:space="preserve">RCUK p.39</t>
  </si>
  <si>
    <t xml:space="preserve">Consider hydrocortisone</t>
  </si>
  <si>
    <t xml:space="preserve">Conditional (never before adrenaline)</t>
  </si>
  <si>
    <t xml:space="preserve">Only after initial resuscitation; not prioritised over adrenaline/fluids</t>
  </si>
  <si>
    <t xml:space="preserve">Start CPR immediately if cardiac arrest occurs</t>
  </si>
  <si>
    <t xml:space="preserve">Unresponsive/unconscious with absent or abnormal breathing; use IV/IO adrenaline per ALS guidelines, not IM</t>
  </si>
  <si>
    <t xml:space="preserve">RCUK p.26, p.39</t>
  </si>
  <si>
    <t xml:space="preserve">drug</t>
  </si>
  <si>
    <t xml:space="preserve">adult_dose</t>
  </si>
  <si>
    <t xml:space="preserve">paediatric_dose</t>
  </si>
  <si>
    <t xml:space="preserve">monitoring_or_caution</t>
  </si>
  <si>
    <t xml:space="preserve">Adrenaline infusion</t>
  </si>
  <si>
    <t xml:space="preserve">Mix 1 mg (1 mL of 1 mg/mL) in 100 mL 0.9% NaCl. Start 0.5-1.0 mL/kg/h (moderate 0.5, severe 1.0 mL/kg/h ~0.1 microgram/kg/min). Titrate to response; wean once stable.</t>
  </si>
  <si>
    <t xml:space="preserve">Same weight-based protocol as adult</t>
  </si>
  <si>
    <t xml:space="preserve">First-line for refractory anaphylaxis (all aspects, not just shock)</t>
  </si>
  <si>
    <t xml:space="preserve">Continuous ECG, pulse oximetry, non-invasive BP at least every 5 min. Tachycardia/tremor/pallor with normal-or-raised BP = excessive adrenaline: reduce or stop infusion</t>
  </si>
  <si>
    <t xml:space="preserve">RCUK Appendix 3 p.57</t>
  </si>
  <si>
    <t xml:space="preserve">Adrenaline IV bolus (until infusion ready, specialists only)</t>
  </si>
  <si>
    <t xml:space="preserve">50 micrograms (0.5 mL of 1:10,000/100 micrograms per mL prefilled syringe); if repeated, start an infusion</t>
  </si>
  <si>
    <t xml:space="preserve">No evidence-based dose; a child may respond to as little as 1 microgram/kg; requires very careful dilution</t>
  </si>
  <si>
    <t xml:space="preserve">Bridging dose only while setting up an infusion</t>
  </si>
  <si>
    <t xml:space="preserve">Never use undiluted 1:1000 adrenaline IV. To be given only by experienced specialists</t>
  </si>
  <si>
    <t xml:space="preserve">Aminophylline</t>
  </si>
  <si>
    <t xml:space="preserve">Loading 5 mg/kg (max 500 mg) IV over 20 min (omit if already on theophylline); infusion 0.5-0.7 mg/kg/h (0.3 mg/kg/h if elderly)</t>
  </si>
  <si>
    <t xml:space="preserve">Loading as adult; infusion 1 mg/kg/h if under 12 years</t>
  </si>
  <si>
    <t xml:space="preserve">Refractory bronchospasm</t>
  </si>
  <si>
    <t xml:space="preserve">Omit loading dose if already on theophylline</t>
  </si>
  <si>
    <t xml:space="preserve">Atropine</t>
  </si>
  <si>
    <t xml:space="preserve">0.5 mg IV, repeat if necessary</t>
  </si>
  <si>
    <t xml:space="preserve">&lt;12y: 10-20 micrograms/kg IV; &gt;12y: 300-600 micrograms IV</t>
  </si>
  <si>
    <t xml:space="preserve">Severe persistent bradycardia despite adequate fluid resuscitation</t>
  </si>
  <si>
    <t xml:space="preserve">1 mg IV; can be repeated or followed by an infusion of 1-2 mg/h</t>
  </si>
  <si>
    <t xml:space="preserve">20-30 micrograms/kg (max 1 mg), can repeat every 5 min</t>
  </si>
  <si>
    <t xml:space="preserve">Poor response to adrenaline in a patient on a beta-blocker</t>
  </si>
  <si>
    <t xml:space="preserve">Monitor for hyperglycaemia, vomiting, hypokalaemia, hypocalcaemia</t>
  </si>
  <si>
    <t xml:space="preserve">RCUK Appendix 3 p.57; p.39</t>
  </si>
  <si>
    <t xml:space="preserve">Hydrocortisone</t>
  </si>
  <si>
    <t xml:space="preserve">200 mg IV as initial dose</t>
  </si>
  <si>
    <t xml:space="preserve">4 mg/kg IV (max 200 mg)</t>
  </si>
  <si>
    <t xml:space="preserve">Consider for refractory reactions after initial resuscitation, or ongoing asthma/shock</t>
  </si>
  <si>
    <t xml:space="preserve">Not prioritised over adrenaline infusion and fluids; routine use in non-refractory anaphylaxis is NOT advised</t>
  </si>
  <si>
    <t xml:space="preserve">RCUK Appendix 3 p.57; p.33, p.39</t>
  </si>
  <si>
    <t xml:space="preserve">Ipratropium (nebulized)</t>
  </si>
  <si>
    <t xml:space="preserve">500 micrograms</t>
  </si>
  <si>
    <t xml:space="preserve">&lt;2y: 125 micrograms; 2-12y: 250 micrograms; &gt;12y: 500 micrograms</t>
  </si>
  <si>
    <t xml:space="preserve">Refractory bronchospasm, as adjunct to salbutamol</t>
  </si>
  <si>
    <t xml:space="preserve">Metaraminol</t>
  </si>
  <si>
    <t xml:space="preserve">IV bolus 0.5 mg, repeat as required; infusion per local expert advice</t>
  </si>
  <si>
    <t xml:space="preserve">IV bolus 10 micrograms/kg, repeat as required and titrate</t>
  </si>
  <si>
    <t xml:space="preserve">Second-line vasopressor for refractory shock</t>
  </si>
  <si>
    <t xml:space="preserve">Seek expert advice; requires sufficient monitoring</t>
  </si>
  <si>
    <t xml:space="preserve">Noradrenaline</t>
  </si>
  <si>
    <t xml:space="preserve">IV infusion 0.05-0.5 micrograms/kg/min (seek local expert advice)</t>
  </si>
  <si>
    <t xml:space="preserve">Start at 0.1 micrograms/kg/min (seek expert advice)</t>
  </si>
  <si>
    <t xml:space="preserve">Requires central-line/expert setting in most protocols</t>
  </si>
  <si>
    <t xml:space="preserve">Salbutamol (nebulized)</t>
  </si>
  <si>
    <t xml:space="preserve">5 mg nebulized</t>
  </si>
  <si>
    <t xml:space="preserve">&lt;5y: 2.5 mg; &gt;5y: 5 mg</t>
  </si>
  <si>
    <t xml:space="preserve">Salbutamol (IV bolus)</t>
  </si>
  <si>
    <t xml:space="preserve">250 micrograms IV over 5 min</t>
  </si>
  <si>
    <t xml:space="preserve">&lt;2y: 5 micrograms/kg over 5 min; 2-18y: 15 micrograms/kg (max 250 micrograms) over 5 min</t>
  </si>
  <si>
    <t xml:space="preserve">Refractory bronchospasm not responding to nebulized therapy</t>
  </si>
  <si>
    <t xml:space="preserve">Give slowly over 5 min</t>
  </si>
  <si>
    <t xml:space="preserve">Vasopressin</t>
  </si>
  <si>
    <t xml:space="preserve">IV bolus 2 units, repeat as needed, consider infusion</t>
  </si>
  <si>
    <t xml:space="preserve">Infusion 0.02-0.06 units/kg/h (mix 1 unit/kg in 50 mL; give 2 mL bolus then 1-3 mL/h)</t>
  </si>
  <si>
    <t xml:space="preserve">Second-line vasopressor for refractory shock, especially if adrenaline infusion is suboptimal</t>
  </si>
  <si>
    <t xml:space="preserve">Animal-model evidence suggests adrenaline infusion followed by an alternative vasopressor is superior to vasopressin alone</t>
  </si>
  <si>
    <t xml:space="preserve">RCUK Appendix 3 p.57; p.36</t>
  </si>
  <si>
    <t xml:space="preserve">pathway</t>
  </si>
  <si>
    <t xml:space="preserve">criteria</t>
  </si>
  <si>
    <t xml:space="preserve">Fast-track discharge</t>
  </si>
  <si>
    <t xml:space="preserve">2 hours after resolution of symptoms</t>
  </si>
  <si>
    <t xml:space="preserve">ALL of: good response (within 5-10 min) to a single adrenaline dose given within 30 min of reaction onset; complete resolution of symptoms; patient already has unused auto-injectors and is trained to use them; adequate supervision after discharge. (May also apply after a supervised allergy challenge needing 2 doses in a specialist setting.)</t>
  </si>
  <si>
    <t xml:space="preserve">RCUK 2021 p.43</t>
  </si>
  <si>
    <t xml:space="preserve">Standard observation</t>
  </si>
  <si>
    <t xml:space="preserve">Minimum 6 hours from resolution of symptoms</t>
  </si>
  <si>
    <t xml:space="preserve">Recommended if: 2 doses of IM adrenaline were needed to treat the reaction, OR the patient has a previous biphasic reaction</t>
  </si>
  <si>
    <t xml:space="preserve">Extended observation</t>
  </si>
  <si>
    <t xml:space="preserve">At least 12 hours</t>
  </si>
  <si>
    <t xml:space="preserve">Recommended if ANY of: severe reaction requiring more than 2 doses of adrenaline; severe asthma or severe respiratory compromise; possibility of continuing allergen absorption (e.g. slow-release medicines); patient presents late at night or may not be able to respond to deterioration; patient is in an area where access to emergency care is difficult</t>
  </si>
  <si>
    <t xml:space="preserve">Biphasic reaction incidence</t>
  </si>
  <si>
    <t xml:space="preserve">not a duration (statistic)</t>
  </si>
  <si>
    <t xml:space="preserve">Occurs in around 5% of anaphylaxis patients. Median time to biphasic symptoms is around 12 h. A 6-12 h observation window (previous NICE recommendation) may miss over 50% of biphasic reactions in that 5%.</t>
  </si>
  <si>
    <t xml:space="preserve">RCUK 2021 p.42</t>
  </si>
  <si>
    <t xml:space="preserve">Biphasic reaction risk factors</t>
  </si>
  <si>
    <t xml:space="preserve">not a duration (risk factors)</t>
  </si>
  <si>
    <t xml:space="preserve">More severe initial presentation; initial reaction requiring more than one adrenaline dose; delay in adrenaline administration (&gt;30-60 min from symptom onset); previous history of a biphasic reaction</t>
  </si>
  <si>
    <t xml:space="preserve">Fatality from biphasic reactions</t>
  </si>
  <si>
    <t xml:space="preserve">Very rare: of over 9,000 anaphylaxis cases (28 fatalities) in the European Anaphylaxis Registry 2011-2019, 435 had a biphasic reaction and none of those patients died</t>
  </si>
  <si>
    <t xml:space="preserve">RCUK 2021 p.42 (citing the European Anaphylaxis Registry)</t>
  </si>
  <si>
    <t xml:space="preserve">Pre-discharge checks</t>
  </si>
  <si>
    <t xml:space="preserve">not a duration (checklist)</t>
  </si>
  <si>
    <t xml:space="preserve">Ask the patient to stand and assess for dizziness (postural hypotension); measure BP if appropriate; consider giving food at least 1 hour before discharge to reduce the risk of further allergen absorption from residual food in the gut</t>
  </si>
  <si>
    <t xml:space="preserve">Superseded WAO position</t>
  </si>
  <si>
    <t xml:space="preserve">not applicable (design note)</t>
  </si>
  <si>
    <t xml:space="preserve">WAO 2020 stated there was 'no consensus' on observation duration. RCUK 2021 provides an explicit risk-stratified table, used here as the default.</t>
  </si>
  <si>
    <t xml:space="preserve">WAO p.20; RCUK 2021 p.43</t>
  </si>
  <si>
    <t xml:space="preserve">EAACI 2021 observation (comparison)</t>
  </si>
  <si>
    <t xml:space="preserve">6-8 h with respiratory compromise; at least 12-24 h with hypotension</t>
  </si>
  <si>
    <t xml:space="preserve">Observation length is set by the type of compromise present, not by a risk-stratified pathway; EAACI gives no fast-track option comparable to RCUK's 2-hour pathway.</t>
  </si>
  <si>
    <t xml:space="preserve">EAACI 2021 p.366</t>
  </si>
  <si>
    <t xml:space="preserve">colour_code</t>
  </si>
  <si>
    <t xml:space="preserve">gauge</t>
  </si>
  <si>
    <t xml:space="preserve">length_mm</t>
  </si>
  <si>
    <t xml:space="preserve">typical_use</t>
  </si>
  <si>
    <t xml:space="preserve">Brown</t>
  </si>
  <si>
    <t xml:space="preserve">26 G</t>
  </si>
  <si>
    <t xml:space="preserve">10 mm</t>
  </si>
  <si>
    <t xml:space="preserve">Not generally used for IM adrenaline in anaphylaxis (too short for most patients)</t>
  </si>
  <si>
    <t xml:space="preserve">RCUK 2021 p.56</t>
  </si>
  <si>
    <t xml:space="preserve">Orange</t>
  </si>
  <si>
    <t xml:space="preserve">25 G</t>
  </si>
  <si>
    <t xml:space="preserve">16 mm or 25 mm</t>
  </si>
  <si>
    <t xml:space="preserve">16 mm suitable for pre-term or very small infants</t>
  </si>
  <si>
    <t xml:space="preserve">Blue</t>
  </si>
  <si>
    <t xml:space="preserve">23 G</t>
  </si>
  <si>
    <t xml:space="preserve">25 mm</t>
  </si>
  <si>
    <t xml:space="preserve">25 mm ('a 25 mm needle is best and is suitable for all ages')</t>
  </si>
  <si>
    <t xml:space="preserve">Green</t>
  </si>
  <si>
    <t xml:space="preserve">21 G</t>
  </si>
  <si>
    <t xml:space="preserve">38 mm</t>
  </si>
  <si>
    <t xml:space="preserve">May be needed in some adults with more subcutaneous tissue</t>
  </si>
  <si>
    <t xml:space="preserve">Injection site</t>
  </si>
  <si>
    <t xml:space="preserve">-</t>
  </si>
  <si>
    <t xml:space="preserve">Anterolateral aspect of the middle third of the thigh (vastus lateralis), for all ages</t>
  </si>
  <si>
    <t xml:space="preserve">RCUK 2021 p.29, p.56</t>
  </si>
  <si>
    <t xml:space="preserve">cofactor</t>
  </si>
  <si>
    <t xml:space="preserve">OR_NIAID_FAAN</t>
  </si>
  <si>
    <t xml:space="preserve">CI_NIAID_FAAN</t>
  </si>
  <si>
    <t xml:space="preserve">OR_RingMessmer</t>
  </si>
  <si>
    <t xml:space="preserve">CI_RingMessmer</t>
  </si>
  <si>
    <t xml:space="preserve">Age (per year)</t>
  </si>
  <si>
    <t xml:space="preserve">intrinsic</t>
  </si>
  <si>
    <t xml:space="preserve">1.015-1.020</t>
  </si>
  <si>
    <t xml:space="preserve">1.010-1.028</t>
  </si>
  <si>
    <t xml:space="preserve">OR is per 1-year increase; multiply by patient age vs baseline</t>
  </si>
  <si>
    <t xml:space="preserve">Worm 2018 Table 1</t>
  </si>
  <si>
    <t xml:space="preserve">Male sex</t>
  </si>
  <si>
    <t xml:space="preserve">1.056-1.260</t>
  </si>
  <si>
    <t xml:space="preserve">1.614-2.226</t>
  </si>
  <si>
    <t xml:space="preserve">Consistent across both grading models</t>
  </si>
  <si>
    <t xml:space="preserve">Concomitant mastocytosis</t>
  </si>
  <si>
    <t xml:space="preserve">comorbidity</t>
  </si>
  <si>
    <t xml:space="preserve">2.660-3.725</t>
  </si>
  <si>
    <t xml:space="preserve">4.888-6.063</t>
  </si>
  <si>
    <t xml:space="preserve">Strongest comorbidity predictor; 1.64% of cohort (n=120)</t>
  </si>
  <si>
    <t xml:space="preserve">Concomitant asthma</t>
  </si>
  <si>
    <t xml:space="preserve">0.610-0.887</t>
  </si>
  <si>
    <t xml:space="preserve">1.013-1.838</t>
  </si>
  <si>
    <t xml:space="preserve">Protective in NIAID/FAAN model, opposite direction in Ring&amp;Messmer</t>
  </si>
  <si>
    <t xml:space="preserve">Concomitant thyroid disease</t>
  </si>
  <si>
    <t xml:space="preserve">0.593-0.991</t>
  </si>
  <si>
    <t xml:space="preserve">Not used</t>
  </si>
  <si>
    <t xml:space="preserve">Not significant in Ring&amp;Messmer model</t>
  </si>
  <si>
    <t xml:space="preserve">Mild exercise</t>
  </si>
  <si>
    <t xml:space="preserve">lifestyle</t>
  </si>
  <si>
    <t xml:space="preserve">0.582-0.932</t>
  </si>
  <si>
    <t xml:space="preserve">Moderate exercise</t>
  </si>
  <si>
    <t xml:space="preserve">0.896-1.288</t>
  </si>
  <si>
    <t xml:space="preserve">Not statistically significant</t>
  </si>
  <si>
    <t xml:space="preserve">Vigorous exercise</t>
  </si>
  <si>
    <t xml:space="preserve">1.281-1.669</t>
  </si>
  <si>
    <t xml:space="preserve">OR rises to 3.5 (drug-elicited) / 2.06 (food-elicited) when restricted by elicitor</t>
  </si>
  <si>
    <t xml:space="preserve">Worm 2018 Table 1 + Results text</t>
  </si>
  <si>
    <t xml:space="preserve">Psychological burden</t>
  </si>
  <si>
    <t xml:space="preserve">1.187-1.611</t>
  </si>
  <si>
    <t xml:space="preserve">1.888-2.740</t>
  </si>
  <si>
    <t xml:space="preserve">Physician-assessed clinical relevance, not patient self-report</t>
  </si>
  <si>
    <t xml:space="preserve">ACE-I intake</t>
  </si>
  <si>
    <t xml:space="preserve">medication</t>
  </si>
  <si>
    <t xml:space="preserve">1.049-1.514</t>
  </si>
  <si>
    <t xml:space="preserve">Insignificant in Ring&amp;Messmer model</t>
  </si>
  <si>
    <t xml:space="preserve">Beta-blocker intake</t>
  </si>
  <si>
    <t xml:space="preserve">1.465-2.249</t>
  </si>
  <si>
    <t xml:space="preserve">Excluded (insignificant) from NIAID/FAAN model</t>
  </si>
  <si>
    <t xml:space="preserve">Food as elicitor</t>
  </si>
  <si>
    <t xml:space="preserve">elicitor</t>
  </si>
  <si>
    <t xml:space="preserve">0.684-1.039</t>
  </si>
  <si>
    <t xml:space="preserve">(-0.138)-1.183 (coef CI, not sig.)</t>
  </si>
  <si>
    <t xml:space="preserve">Reference category varies; not significant in R&amp;M model</t>
  </si>
  <si>
    <t xml:space="preserve">Drugs as elicitor</t>
  </si>
  <si>
    <t xml:space="preserve">1.234-1.623</t>
  </si>
  <si>
    <t xml:space="preserve">1.731-2.857</t>
  </si>
  <si>
    <t xml:space="preserve">Insects as elicitor</t>
  </si>
  <si>
    <t xml:space="preserve">2.253-2.612</t>
  </si>
  <si>
    <t xml:space="preserve">0.317-1.451 (not significant)</t>
  </si>
  <si>
    <t xml:space="preserve">Strong in NIAID/FAAN, not confirmed in Ring&amp;Messmer</t>
  </si>
</sst>
</file>

<file path=xl/styles.xml><?xml version="1.0" encoding="utf-8"?>
<styleSheet xmlns="http://schemas.openxmlformats.org/spreadsheetml/2006/main">
  <numFmts count="3">
    <numFmt numFmtId="164" formatCode="General"/>
    <numFmt numFmtId="165" formatCode="General"/>
    <numFmt numFmtId="166" formatCode="0.000"/>
  </numFmts>
  <fonts count="11">
    <font>
      <sz val="11"/>
      <color theme="1"/>
      <name val="Calibri"/>
      <family val="2"/>
      <charset val="1"/>
    </font>
    <font>
      <sz val="10"/>
      <name val="Arial"/>
      <family val="0"/>
    </font>
    <font>
      <sz val="10"/>
      <name val="Arial"/>
      <family val="0"/>
    </font>
    <font>
      <sz val="10"/>
      <name val="Arial"/>
      <family val="0"/>
    </font>
    <font>
      <b val="true"/>
      <sz val="10"/>
      <color rgb="FF00000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10"/>
      <name val="Arial"/>
      <family val="0"/>
      <charset val="1"/>
    </font>
    <font>
      <b val="true"/>
      <sz val="10"/>
      <name val="Arial"/>
      <family val="0"/>
      <charset val="1"/>
    </font>
    <font>
      <i val="true"/>
      <sz val="10"/>
      <color rgb="FF7F7F7F"/>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EDEDED"/>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23.25" hidden="false" customHeight="true" outlineLevel="0" collapsed="false">
      <c r="A1" s="2" t="s">
        <v>0</v>
      </c>
      <c r="B1" s="2"/>
    </row>
    <row r="2" customFormat="false" ht="23.25" hidden="false" customHeight="true" outlineLevel="0" collapsed="false">
      <c r="A2" s="3" t="s">
        <v>1</v>
      </c>
      <c r="B2" s="3" t="s">
        <v>2</v>
      </c>
    </row>
    <row r="3" customFormat="false" ht="23.25" hidden="false" customHeight="true" outlineLevel="0" collapsed="false">
      <c r="A3" s="3" t="s">
        <v>3</v>
      </c>
      <c r="B3" s="3" t="s">
        <v>4</v>
      </c>
    </row>
    <row r="5" customFormat="false" ht="15" hidden="false" customHeight="true" outlineLevel="0" collapsed="false">
      <c r="A5" s="2" t="s">
        <v>5</v>
      </c>
      <c r="B5" s="2"/>
    </row>
    <row r="6" customFormat="false" ht="15" hidden="false" customHeight="true" outlineLevel="0" collapsed="false">
      <c r="A6" s="3" t="s">
        <v>6</v>
      </c>
      <c r="B6" s="3" t="s">
        <v>7</v>
      </c>
    </row>
    <row r="7" customFormat="false" ht="15" hidden="false" customHeight="true" outlineLevel="0" collapsed="false">
      <c r="A7" s="3" t="s">
        <v>8</v>
      </c>
      <c r="B7" s="3" t="s">
        <v>9</v>
      </c>
    </row>
    <row r="8" customFormat="false" ht="15" hidden="false" customHeight="true" outlineLevel="0" collapsed="false">
      <c r="A8" s="3" t="s">
        <v>10</v>
      </c>
      <c r="B8" s="3" t="s">
        <v>11</v>
      </c>
    </row>
    <row r="9" customFormat="false" ht="15" hidden="false" customHeight="true" outlineLevel="0" collapsed="false">
      <c r="A9" s="3" t="s">
        <v>12</v>
      </c>
      <c r="B9" s="3" t="s">
        <v>13</v>
      </c>
    </row>
    <row r="10" customFormat="false" ht="15" hidden="false" customHeight="true" outlineLevel="0" collapsed="false">
      <c r="A10" s="3" t="s">
        <v>14</v>
      </c>
      <c r="B10" s="3" t="s">
        <v>15</v>
      </c>
    </row>
    <row r="11" customFormat="false" ht="15" hidden="false" customHeight="true" outlineLevel="0" collapsed="false">
      <c r="A11" s="3" t="s">
        <v>16</v>
      </c>
      <c r="B11" s="3" t="s">
        <v>17</v>
      </c>
    </row>
    <row r="12" customFormat="false" ht="15" hidden="false" customHeight="true" outlineLevel="0" collapsed="false">
      <c r="A12" s="3" t="s">
        <v>18</v>
      </c>
      <c r="B12" s="3" t="s">
        <v>19</v>
      </c>
    </row>
    <row r="13" customFormat="false" ht="15" hidden="false" customHeight="true" outlineLevel="0" collapsed="false">
      <c r="A13" s="3" t="s">
        <v>20</v>
      </c>
      <c r="B13" s="3" t="s">
        <v>21</v>
      </c>
    </row>
    <row r="14" customFormat="false" ht="15" hidden="false" customHeight="true" outlineLevel="0" collapsed="false">
      <c r="A14" s="3" t="s">
        <v>22</v>
      </c>
      <c r="B14" s="3" t="s">
        <v>23</v>
      </c>
    </row>
    <row r="15" customFormat="false" ht="15" hidden="false" customHeight="true" outlineLevel="0" collapsed="false">
      <c r="A15" s="3" t="s">
        <v>24</v>
      </c>
      <c r="B15" s="3" t="s">
        <v>25</v>
      </c>
    </row>
    <row r="16" customFormat="false" ht="15" hidden="false" customHeight="true" outlineLevel="0" collapsed="false">
      <c r="A16" s="3" t="s">
        <v>26</v>
      </c>
      <c r="B16" s="3" t="s">
        <v>27</v>
      </c>
    </row>
    <row r="17" customFormat="false" ht="15" hidden="false" customHeight="true" outlineLevel="0" collapsed="false">
      <c r="A17" s="3" t="s">
        <v>28</v>
      </c>
      <c r="B17" s="3" t="s">
        <v>29</v>
      </c>
    </row>
    <row r="18" customFormat="false" ht="15" hidden="false" customHeight="true" outlineLevel="0" collapsed="false">
      <c r="A18" s="3" t="s">
        <v>30</v>
      </c>
      <c r="B18" s="3" t="s">
        <v>31</v>
      </c>
    </row>
    <row r="19" customFormat="false" ht="15" hidden="false" customHeight="true" outlineLevel="0" collapsed="false">
      <c r="A19" s="3" t="s">
        <v>32</v>
      </c>
      <c r="B19" s="3" t="s">
        <v>33</v>
      </c>
    </row>
    <row r="20" customFormat="false" ht="15" hidden="false" customHeight="true" outlineLevel="0" collapsed="false">
      <c r="A20" s="3" t="s">
        <v>34</v>
      </c>
      <c r="B20" s="3" t="s">
        <v>35</v>
      </c>
    </row>
    <row r="21" customFormat="false" ht="15" hidden="false" customHeight="true" outlineLevel="0" collapsed="false">
      <c r="A21" s="3" t="s">
        <v>36</v>
      </c>
      <c r="B21" s="3" t="s">
        <v>37</v>
      </c>
    </row>
    <row r="22" customFormat="false" ht="15" hidden="false" customHeight="true" outlineLevel="0" collapsed="false">
      <c r="A22" s="3" t="s">
        <v>38</v>
      </c>
      <c r="B22" s="3" t="s">
        <v>39</v>
      </c>
    </row>
    <row r="23" customFormat="false" ht="15" hidden="false" customHeight="true" outlineLevel="0" collapsed="false">
      <c r="A23" s="3" t="s">
        <v>40</v>
      </c>
      <c r="B23" s="3" t="s">
        <v>41</v>
      </c>
    </row>
    <row r="24" customFormat="false" ht="15" hidden="false" customHeight="true" outlineLevel="0" collapsed="false">
      <c r="A24" s="3" t="s">
        <v>42</v>
      </c>
      <c r="B24" s="3" t="s">
        <v>43</v>
      </c>
    </row>
    <row r="25" customFormat="false" ht="15" hidden="false" customHeight="true" outlineLevel="0" collapsed="false">
      <c r="A25" s="3" t="s">
        <v>44</v>
      </c>
      <c r="B25" s="3" t="s">
        <v>45</v>
      </c>
    </row>
    <row r="26" customFormat="false" ht="15" hidden="false" customHeight="true" outlineLevel="0" collapsed="false">
      <c r="A26" s="3" t="s">
        <v>46</v>
      </c>
      <c r="B26" s="3" t="s">
        <v>47</v>
      </c>
    </row>
    <row r="27" customFormat="false" ht="15" hidden="false" customHeight="true" outlineLevel="0" collapsed="false">
      <c r="A27" s="3" t="s">
        <v>48</v>
      </c>
      <c r="B27" s="3" t="s">
        <v>49</v>
      </c>
    </row>
    <row r="28" customFormat="false" ht="15" hidden="false" customHeight="true" outlineLevel="0" collapsed="false">
      <c r="A28" s="3" t="s">
        <v>50</v>
      </c>
      <c r="B28" s="3" t="s">
        <v>51</v>
      </c>
    </row>
    <row r="29" customFormat="false" ht="15" hidden="false" customHeight="true" outlineLevel="0" collapsed="false">
      <c r="A29" s="3" t="s">
        <v>52</v>
      </c>
      <c r="B29" s="3" t="s">
        <v>53</v>
      </c>
    </row>
    <row r="30" customFormat="false" ht="15" hidden="false" customHeight="true" outlineLevel="0" collapsed="false">
      <c r="A30" s="3" t="s">
        <v>54</v>
      </c>
      <c r="B30" s="3" t="s">
        <v>55</v>
      </c>
    </row>
    <row r="31" customFormat="false" ht="15" hidden="false" customHeight="true" outlineLevel="0" collapsed="false">
      <c r="A31" s="3" t="s">
        <v>56</v>
      </c>
      <c r="B31" s="3" t="s">
        <v>57</v>
      </c>
    </row>
    <row r="32" customFormat="false" ht="15" hidden="false" customHeight="true" outlineLevel="0" collapsed="false">
      <c r="A32" s="3" t="s">
        <v>58</v>
      </c>
      <c r="B32" s="3" t="s">
        <v>59</v>
      </c>
    </row>
    <row r="33" customFormat="false" ht="15" hidden="false" customHeight="true" outlineLevel="0" collapsed="false">
      <c r="A33" s="3" t="s">
        <v>60</v>
      </c>
      <c r="B33" s="3" t="s">
        <v>61</v>
      </c>
    </row>
    <row r="34" customFormat="false" ht="15" hidden="false" customHeight="true" outlineLevel="0" collapsed="false">
      <c r="A34" s="3" t="s">
        <v>62</v>
      </c>
      <c r="B34" s="3" t="s">
        <v>63</v>
      </c>
    </row>
    <row r="35" customFormat="false" ht="15" hidden="false" customHeight="true" outlineLevel="0" collapsed="false">
      <c r="A35" s="3" t="s">
        <v>64</v>
      </c>
      <c r="B35" s="3" t="s">
        <v>65</v>
      </c>
    </row>
    <row r="36" customFormat="false" ht="15" hidden="false" customHeight="true" outlineLevel="0" collapsed="false"/>
    <row r="37" customFormat="false" ht="15" hidden="false" customHeight="true" outlineLevel="0" collapsed="false">
      <c r="A37" s="2" t="s">
        <v>66</v>
      </c>
      <c r="B37" s="2"/>
    </row>
    <row r="38" customFormat="false" ht="15" hidden="false" customHeight="true" outlineLevel="0" collapsed="false">
      <c r="A38" s="4" t="s">
        <v>67</v>
      </c>
      <c r="B38" s="5" t="s">
        <v>68</v>
      </c>
    </row>
    <row r="39" customFormat="false" ht="34.5" hidden="false" customHeight="true" outlineLevel="0" collapsed="false">
      <c r="A39" s="3" t="s">
        <v>69</v>
      </c>
      <c r="B39" s="3" t="s">
        <v>70</v>
      </c>
    </row>
    <row r="40" customFormat="false" ht="15" hidden="false" customHeight="true" outlineLevel="0" collapsed="false">
      <c r="A40" s="3" t="s">
        <v>71</v>
      </c>
      <c r="B40" s="3" t="s">
        <v>72</v>
      </c>
    </row>
    <row r="41" customFormat="false" ht="15" hidden="false" customHeight="true" outlineLevel="0" collapsed="false">
      <c r="A41" s="3" t="s">
        <v>73</v>
      </c>
      <c r="B41" s="3" t="s">
        <v>74</v>
      </c>
    </row>
    <row r="42" customFormat="false" ht="15" hidden="false" customHeight="true" outlineLevel="0" collapsed="false">
      <c r="A42" s="3" t="s">
        <v>75</v>
      </c>
      <c r="B42" s="3" t="s">
        <v>76</v>
      </c>
    </row>
    <row r="43" customFormat="false" ht="15" hidden="false" customHeight="true" outlineLevel="0" collapsed="false">
      <c r="A43" s="3" t="s">
        <v>77</v>
      </c>
      <c r="B43" s="3" t="s">
        <v>78</v>
      </c>
    </row>
    <row r="44" customFormat="false" ht="15" hidden="false" customHeight="true" outlineLevel="0" collapsed="false">
      <c r="A44" s="3" t="s">
        <v>79</v>
      </c>
      <c r="B44" s="3" t="s">
        <v>80</v>
      </c>
    </row>
    <row r="45" customFormat="false" ht="15" hidden="false" customHeight="true" outlineLevel="0" collapsed="false">
      <c r="A45" s="3" t="s">
        <v>81</v>
      </c>
      <c r="B45" s="3" t="s">
        <v>82</v>
      </c>
    </row>
    <row r="46" customFormat="false" ht="15" hidden="false" customHeight="true" outlineLevel="0" collapsed="false"/>
    <row r="47" customFormat="false" ht="15" hidden="false" customHeight="true" outlineLevel="0" collapsed="false">
      <c r="A47" s="2" t="s">
        <v>83</v>
      </c>
      <c r="B47" s="2"/>
    </row>
    <row r="48" customFormat="false" ht="15" hidden="false" customHeight="true" outlineLevel="0" collapsed="false">
      <c r="A48" s="3" t="s">
        <v>84</v>
      </c>
      <c r="B48" s="6" t="n">
        <f aca="false">COUNTA(State_Symptoms!A2:A91)</f>
        <v>90</v>
      </c>
    </row>
    <row r="49" customFormat="false" ht="15" hidden="false" customHeight="true" outlineLevel="0" collapsed="false">
      <c r="A49" s="3" t="s">
        <v>85</v>
      </c>
      <c r="B49" s="6" t="n">
        <f aca="false">COUNTA(Symptom_Master!A2:A31)</f>
        <v>30</v>
      </c>
    </row>
    <row r="50" customFormat="false" ht="15" hidden="false" customHeight="true" outlineLevel="0" collapsed="false">
      <c r="A50" s="3" t="s">
        <v>86</v>
      </c>
      <c r="B50" s="6" t="n">
        <f aca="false">COUNTA(Extra_Facts!A2:A33)</f>
        <v>32</v>
      </c>
    </row>
    <row r="51" customFormat="false" ht="15" hidden="false" customHeight="true" outlineLevel="0" collapsed="false">
      <c r="A51" s="3" t="s">
        <v>87</v>
      </c>
      <c r="B51" s="6" t="n">
        <f aca="false">COUNTA(Actions!A2:A18)</f>
        <v>17</v>
      </c>
    </row>
    <row r="52" customFormat="false" ht="15" hidden="false" customHeight="true" outlineLevel="0" collapsed="false">
      <c r="A52" s="3" t="s">
        <v>88</v>
      </c>
      <c r="B52" s="6" t="n">
        <f aca="false">COUNTA(State_Actions!A2:A63)</f>
        <v>62</v>
      </c>
    </row>
    <row r="53" customFormat="false" ht="15" hidden="false" customHeight="true" outlineLevel="0" collapsed="false">
      <c r="A53" s="3" t="s">
        <v>89</v>
      </c>
      <c r="B53" s="6" t="n">
        <f aca="false">COUNTA(Hints!A2:A25)</f>
        <v>24</v>
      </c>
    </row>
    <row r="54" customFormat="false" ht="15" hidden="false" customHeight="true" outlineLevel="0" collapsed="false">
      <c r="A54" s="3" t="s">
        <v>90</v>
      </c>
      <c r="B54" s="6" t="n">
        <f aca="false">COUNTA(Contraindicated!A2:A5)</f>
        <v>4</v>
      </c>
    </row>
    <row r="55" customFormat="false" ht="15" hidden="false" customHeight="true" outlineLevel="0" collapsed="false">
      <c r="A55" s="3" t="s">
        <v>91</v>
      </c>
      <c r="B55" s="6" t="n">
        <f aca="false">COUNTBLANK(Vitals_Template!D2:M5)+COUNTBLANK(Contraindicated!H2:H5)+COUNTBLANK(Transitions!F3)+COUNTBLANK(Transitions!F5)+COUNTBLANK(Transitions!F7)</f>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26"/>
    <col collapsed="false" customWidth="true" hidden="false" outlineLevel="0" max="4" min="4" style="1" width="80"/>
    <col collapsed="false" customWidth="true" hidden="false" outlineLevel="0" max="5" min="5" style="1" width="60"/>
    <col collapsed="false" customWidth="true" hidden="false" outlineLevel="0" max="6" min="6" style="1" width="14"/>
  </cols>
  <sheetData>
    <row r="1" customFormat="false" ht="15" hidden="false" customHeight="true" outlineLevel="0" collapsed="false">
      <c r="A1" s="7" t="s">
        <v>92</v>
      </c>
      <c r="B1" s="7" t="s">
        <v>93</v>
      </c>
      <c r="C1" s="7" t="s">
        <v>94</v>
      </c>
      <c r="D1" s="7" t="s">
        <v>95</v>
      </c>
      <c r="E1" s="7" t="s">
        <v>96</v>
      </c>
      <c r="F1" s="7" t="s">
        <v>97</v>
      </c>
    </row>
    <row r="2" customFormat="false" ht="146.25" hidden="false" customHeight="true" outlineLevel="0" collapsed="false">
      <c r="A2" s="8" t="s">
        <v>98</v>
      </c>
      <c r="B2" s="8" t="s">
        <v>99</v>
      </c>
      <c r="C2" s="8" t="s">
        <v>100</v>
      </c>
      <c r="D2" s="8" t="s">
        <v>101</v>
      </c>
      <c r="E2" s="8" t="s">
        <v>102</v>
      </c>
      <c r="F2" s="8" t="s">
        <v>103</v>
      </c>
    </row>
    <row r="3" customFormat="false" ht="44.25" hidden="false" customHeight="true" outlineLevel="0" collapsed="false">
      <c r="A3" s="8" t="s">
        <v>104</v>
      </c>
      <c r="B3" s="8" t="s">
        <v>105</v>
      </c>
      <c r="C3" s="8" t="s">
        <v>106</v>
      </c>
      <c r="D3" s="8" t="s">
        <v>107</v>
      </c>
      <c r="E3" s="8" t="s">
        <v>108</v>
      </c>
      <c r="F3" s="8" t="s">
        <v>103</v>
      </c>
    </row>
    <row r="4" customFormat="false" ht="95.25" hidden="false" customHeight="true" outlineLevel="0" collapsed="false">
      <c r="A4" s="8" t="s">
        <v>109</v>
      </c>
      <c r="B4" s="8" t="s">
        <v>110</v>
      </c>
      <c r="C4" s="8" t="s">
        <v>111</v>
      </c>
      <c r="D4" s="8" t="s">
        <v>112</v>
      </c>
      <c r="E4" s="8" t="s">
        <v>113</v>
      </c>
      <c r="F4" s="8" t="s">
        <v>114</v>
      </c>
    </row>
    <row r="5" customFormat="false" ht="95.25" hidden="false" customHeight="true" outlineLevel="0" collapsed="false">
      <c r="A5" s="8" t="s">
        <v>115</v>
      </c>
      <c r="B5" s="8" t="s">
        <v>110</v>
      </c>
      <c r="C5" s="8" t="s">
        <v>116</v>
      </c>
      <c r="D5" s="8" t="s">
        <v>117</v>
      </c>
      <c r="E5" s="8" t="s">
        <v>118</v>
      </c>
      <c r="F5" s="8" t="s">
        <v>114</v>
      </c>
    </row>
    <row r="6" customFormat="false" ht="120.75" hidden="false" customHeight="true" outlineLevel="0" collapsed="false">
      <c r="A6" s="8" t="s">
        <v>119</v>
      </c>
      <c r="B6" s="8" t="s">
        <v>110</v>
      </c>
      <c r="C6" s="8" t="s">
        <v>120</v>
      </c>
      <c r="D6" s="8" t="s">
        <v>121</v>
      </c>
      <c r="E6" s="8" t="s">
        <v>122</v>
      </c>
      <c r="F6" s="8" t="s">
        <v>123</v>
      </c>
    </row>
    <row r="7" customFormat="false" ht="223.5" hidden="false" customHeight="true" outlineLevel="0" collapsed="false">
      <c r="A7" s="8" t="s">
        <v>124</v>
      </c>
      <c r="B7" s="8" t="s">
        <v>110</v>
      </c>
      <c r="C7" s="8" t="s">
        <v>125</v>
      </c>
      <c r="D7" s="8" t="s">
        <v>126</v>
      </c>
      <c r="E7" s="8" t="s">
        <v>127</v>
      </c>
      <c r="F7" s="8" t="s">
        <v>103</v>
      </c>
    </row>
    <row r="8" customFormat="false" ht="69.75" hidden="false" customHeight="true" outlineLevel="0" collapsed="false">
      <c r="A8" s="8" t="s">
        <v>128</v>
      </c>
      <c r="B8" s="8" t="s">
        <v>129</v>
      </c>
      <c r="C8" s="8" t="s">
        <v>130</v>
      </c>
      <c r="D8" s="8" t="s">
        <v>131</v>
      </c>
      <c r="E8" s="8" t="s">
        <v>132</v>
      </c>
    </row>
    <row r="9" customFormat="false" ht="120.75" hidden="false" customHeight="true" outlineLevel="0" collapsed="false">
      <c r="A9" s="8" t="s">
        <v>133</v>
      </c>
      <c r="B9" s="8" t="s">
        <v>134</v>
      </c>
      <c r="C9" s="8" t="s">
        <v>135</v>
      </c>
      <c r="D9" s="8" t="s">
        <v>136</v>
      </c>
      <c r="E9" s="8" t="s">
        <v>137</v>
      </c>
      <c r="F9" s="8" t="s">
        <v>114</v>
      </c>
    </row>
    <row r="10" customFormat="false" ht="120.75" hidden="false" customHeight="true" outlineLevel="0" collapsed="false">
      <c r="A10" s="8" t="s">
        <v>138</v>
      </c>
      <c r="B10" s="8" t="s">
        <v>110</v>
      </c>
      <c r="C10" s="8" t="s">
        <v>139</v>
      </c>
      <c r="D10" s="8" t="s">
        <v>140</v>
      </c>
      <c r="E10" s="8" t="s">
        <v>141</v>
      </c>
      <c r="F10" s="8" t="s">
        <v>114</v>
      </c>
    </row>
    <row r="11" customFormat="false" ht="82.5" hidden="false" customHeight="true" outlineLevel="0" collapsed="false">
      <c r="A11" s="8" t="s">
        <v>142</v>
      </c>
      <c r="B11" s="8" t="s">
        <v>143</v>
      </c>
      <c r="C11" s="8" t="s">
        <v>144</v>
      </c>
      <c r="D11" s="8" t="s">
        <v>145</v>
      </c>
      <c r="E11" s="8" t="s">
        <v>146</v>
      </c>
      <c r="F11" s="8" t="s">
        <v>114</v>
      </c>
    </row>
    <row r="12" customFormat="false" ht="146.25" hidden="false" customHeight="true" outlineLevel="0" collapsed="false">
      <c r="A12" s="8" t="s">
        <v>147</v>
      </c>
      <c r="B12" s="8" t="s">
        <v>148</v>
      </c>
      <c r="C12" s="8" t="s">
        <v>149</v>
      </c>
      <c r="D12" s="8" t="s">
        <v>150</v>
      </c>
      <c r="E12" s="8" t="s">
        <v>151</v>
      </c>
      <c r="F12" s="8" t="s">
        <v>114</v>
      </c>
    </row>
    <row r="13" customFormat="false" ht="108" hidden="false" customHeight="true" outlineLevel="0" collapsed="false">
      <c r="A13" s="8" t="s">
        <v>152</v>
      </c>
      <c r="B13" s="8" t="s">
        <v>153</v>
      </c>
      <c r="C13" s="8" t="s">
        <v>154</v>
      </c>
      <c r="D13" s="8" t="s">
        <v>155</v>
      </c>
      <c r="E13" s="8" t="s">
        <v>156</v>
      </c>
      <c r="F13" s="8" t="s">
        <v>114</v>
      </c>
    </row>
    <row r="14" customFormat="false" ht="120.75" hidden="false" customHeight="true" outlineLevel="0" collapsed="false">
      <c r="A14" s="8" t="s">
        <v>157</v>
      </c>
      <c r="B14" s="8" t="s">
        <v>148</v>
      </c>
      <c r="C14" s="8" t="s">
        <v>158</v>
      </c>
      <c r="D14" s="8" t="s">
        <v>159</v>
      </c>
      <c r="E14" s="8" t="s">
        <v>160</v>
      </c>
      <c r="F14" s="8" t="s">
        <v>114</v>
      </c>
    </row>
    <row r="15" customFormat="false" ht="69.75" hidden="false" customHeight="true" outlineLevel="0" collapsed="false">
      <c r="A15" s="8" t="s">
        <v>161</v>
      </c>
      <c r="B15" s="8" t="s">
        <v>110</v>
      </c>
      <c r="C15" s="8" t="s">
        <v>162</v>
      </c>
      <c r="D15" s="8" t="s">
        <v>163</v>
      </c>
      <c r="E15" s="8" t="s">
        <v>164</v>
      </c>
      <c r="F15" s="8" t="s">
        <v>123</v>
      </c>
    </row>
    <row r="16" customFormat="false" ht="261.75" hidden="false" customHeight="true" outlineLevel="0" collapsed="false">
      <c r="A16" s="8" t="s">
        <v>165</v>
      </c>
      <c r="B16" s="8" t="s">
        <v>110</v>
      </c>
      <c r="C16" s="8" t="s">
        <v>166</v>
      </c>
      <c r="D16" s="8" t="s">
        <v>167</v>
      </c>
      <c r="E16" s="8" t="s">
        <v>168</v>
      </c>
      <c r="F16" s="8" t="s">
        <v>148</v>
      </c>
    </row>
    <row r="17" customFormat="false" ht="44.25" hidden="false" customHeight="true" outlineLevel="0" collapsed="false">
      <c r="A17" s="8" t="s">
        <v>169</v>
      </c>
      <c r="B17" s="8" t="s">
        <v>114</v>
      </c>
      <c r="C17" s="8" t="s">
        <v>170</v>
      </c>
      <c r="D17" s="8" t="s">
        <v>171</v>
      </c>
      <c r="E17" s="8" t="s">
        <v>172</v>
      </c>
    </row>
    <row r="18" customFormat="false" ht="82.5" hidden="false" customHeight="true" outlineLevel="0" collapsed="false">
      <c r="A18" s="8" t="s">
        <v>173</v>
      </c>
      <c r="B18" s="8" t="s">
        <v>174</v>
      </c>
      <c r="C18" s="8" t="s">
        <v>175</v>
      </c>
      <c r="D18" s="8" t="s">
        <v>176</v>
      </c>
      <c r="E18" s="8" t="s">
        <v>177</v>
      </c>
      <c r="F18" s="1" t="s">
        <v>114</v>
      </c>
    </row>
    <row r="19" customFormat="false" ht="108" hidden="false" customHeight="true" outlineLevel="0" collapsed="false">
      <c r="A19" s="8" t="s">
        <v>178</v>
      </c>
      <c r="B19" s="8" t="s">
        <v>110</v>
      </c>
      <c r="C19" s="8" t="s">
        <v>179</v>
      </c>
      <c r="D19" s="8" t="s">
        <v>180</v>
      </c>
      <c r="E19" s="8" t="s">
        <v>181</v>
      </c>
      <c r="F19" s="8" t="s">
        <v>123</v>
      </c>
    </row>
    <row r="20" customFormat="false" ht="146.25" hidden="false" customHeight="true" outlineLevel="0" collapsed="false">
      <c r="A20" s="8" t="s">
        <v>182</v>
      </c>
      <c r="B20" s="8" t="s">
        <v>110</v>
      </c>
      <c r="C20" s="8" t="s">
        <v>183</v>
      </c>
      <c r="D20" s="8" t="s">
        <v>184</v>
      </c>
      <c r="E20" s="8" t="s">
        <v>185</v>
      </c>
      <c r="F20" s="8" t="s">
        <v>123</v>
      </c>
    </row>
    <row r="21" customFormat="false" ht="69.75" hidden="false" customHeight="true" outlineLevel="0" collapsed="false">
      <c r="A21" s="8" t="s">
        <v>186</v>
      </c>
      <c r="B21" s="8" t="s">
        <v>187</v>
      </c>
      <c r="C21" s="8" t="s">
        <v>188</v>
      </c>
      <c r="D21" s="8" t="s">
        <v>189</v>
      </c>
      <c r="E21" s="8" t="s">
        <v>190</v>
      </c>
    </row>
    <row r="22" customFormat="false" ht="44.25" hidden="false" customHeight="true" outlineLevel="0" collapsed="false">
      <c r="A22" s="8" t="s">
        <v>191</v>
      </c>
      <c r="B22" s="8" t="s">
        <v>110</v>
      </c>
      <c r="C22" s="8" t="s">
        <v>192</v>
      </c>
      <c r="D22" s="8" t="s">
        <v>193</v>
      </c>
      <c r="E22" s="8" t="s">
        <v>194</v>
      </c>
    </row>
    <row r="23" customFormat="false" ht="44.25" hidden="false" customHeight="true" outlineLevel="0" collapsed="false">
      <c r="A23" s="8" t="s">
        <v>195</v>
      </c>
      <c r="B23" s="8" t="s">
        <v>110</v>
      </c>
      <c r="C23" s="8" t="s">
        <v>196</v>
      </c>
      <c r="D23" s="8" t="s">
        <v>197</v>
      </c>
      <c r="E23" s="8" t="s">
        <v>198</v>
      </c>
    </row>
    <row r="24" customFormat="false" ht="44.25" hidden="false" customHeight="true" outlineLevel="0" collapsed="false">
      <c r="A24" s="8" t="s">
        <v>199</v>
      </c>
      <c r="B24" s="8" t="s">
        <v>148</v>
      </c>
      <c r="C24" s="8" t="s">
        <v>200</v>
      </c>
      <c r="D24" s="8" t="s">
        <v>201</v>
      </c>
      <c r="E24" s="8" t="s">
        <v>202</v>
      </c>
    </row>
    <row r="25" customFormat="false" ht="108" hidden="false" customHeight="true" outlineLevel="0" collapsed="false">
      <c r="A25" s="8" t="s">
        <v>203</v>
      </c>
      <c r="B25" s="8" t="s">
        <v>153</v>
      </c>
      <c r="C25" s="8" t="s">
        <v>204</v>
      </c>
      <c r="D25" s="8" t="s">
        <v>205</v>
      </c>
      <c r="E25" s="8" t="s">
        <v>206</v>
      </c>
    </row>
    <row r="26" customFormat="false" ht="120.75" hidden="false" customHeight="true" outlineLevel="0" collapsed="false">
      <c r="A26" s="8" t="s">
        <v>207</v>
      </c>
      <c r="B26" s="8" t="s">
        <v>208</v>
      </c>
      <c r="C26" s="8" t="s">
        <v>209</v>
      </c>
      <c r="D26" s="8" t="s">
        <v>210</v>
      </c>
      <c r="E26" s="8" t="s">
        <v>211</v>
      </c>
      <c r="F26" s="1" t="s">
        <v>153</v>
      </c>
    </row>
    <row r="27" customFormat="false" ht="300" hidden="false" customHeight="true" outlineLevel="0" collapsed="false">
      <c r="A27" s="8" t="s">
        <v>212</v>
      </c>
      <c r="B27" s="8" t="s">
        <v>110</v>
      </c>
      <c r="C27" s="8" t="s">
        <v>213</v>
      </c>
      <c r="D27" s="8" t="s">
        <v>214</v>
      </c>
      <c r="E27" s="8" t="s">
        <v>215</v>
      </c>
      <c r="F27" s="8" t="s">
        <v>103</v>
      </c>
    </row>
    <row r="28" customFormat="false" ht="120.75" hidden="false" customHeight="true" outlineLevel="0" collapsed="false">
      <c r="A28" s="8" t="s">
        <v>216</v>
      </c>
      <c r="B28" s="8" t="s">
        <v>110</v>
      </c>
      <c r="C28" s="8" t="s">
        <v>217</v>
      </c>
      <c r="D28" s="8" t="s">
        <v>218</v>
      </c>
      <c r="E28" s="8" t="s">
        <v>219</v>
      </c>
      <c r="F28" s="8" t="s">
        <v>114</v>
      </c>
    </row>
    <row r="29" customFormat="false" ht="120.75" hidden="false" customHeight="true" outlineLevel="0" collapsed="false">
      <c r="A29" s="8" t="s">
        <v>220</v>
      </c>
      <c r="B29" s="8" t="s">
        <v>110</v>
      </c>
      <c r="C29" s="8" t="s">
        <v>221</v>
      </c>
      <c r="D29" s="8" t="s">
        <v>222</v>
      </c>
      <c r="E29" s="8" t="s">
        <v>223</v>
      </c>
      <c r="F29" s="8" t="s">
        <v>114</v>
      </c>
    </row>
    <row r="30" customFormat="false" ht="120.75" hidden="false" customHeight="true" outlineLevel="0" collapsed="false">
      <c r="A30" s="8" t="s">
        <v>224</v>
      </c>
      <c r="B30" s="8" t="s">
        <v>110</v>
      </c>
      <c r="C30" s="8" t="s">
        <v>225</v>
      </c>
      <c r="D30" s="8" t="s">
        <v>226</v>
      </c>
      <c r="E30" s="8" t="s">
        <v>227</v>
      </c>
      <c r="F30" s="8" t="s">
        <v>123</v>
      </c>
    </row>
    <row r="31" customFormat="false" ht="82.5" hidden="false" customHeight="true" outlineLevel="0" collapsed="false">
      <c r="A31" s="8" t="s">
        <v>228</v>
      </c>
      <c r="B31" s="8" t="s">
        <v>110</v>
      </c>
      <c r="C31" s="8" t="s">
        <v>229</v>
      </c>
      <c r="D31" s="8" t="s">
        <v>230</v>
      </c>
      <c r="E31" s="8" t="s">
        <v>231</v>
      </c>
      <c r="F31" s="8" t="s">
        <v>123</v>
      </c>
    </row>
    <row r="32" customFormat="false" ht="133.5" hidden="false" customHeight="true" outlineLevel="0" collapsed="false">
      <c r="A32" s="8" t="s">
        <v>232</v>
      </c>
      <c r="B32" s="8" t="s">
        <v>110</v>
      </c>
      <c r="C32" s="8" t="s">
        <v>233</v>
      </c>
      <c r="D32" s="8" t="s">
        <v>234</v>
      </c>
      <c r="E32" s="8" t="s">
        <v>235</v>
      </c>
      <c r="F32" s="8"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90"/>
    <col collapsed="false" customWidth="true" hidden="false" outlineLevel="0" max="3" min="3" style="1" width="40"/>
    <col collapsed="false" customWidth="true" hidden="false" outlineLevel="0" max="4" min="4" style="1" width="24"/>
    <col collapsed="false" customWidth="true" hidden="false" outlineLevel="0" max="5" min="5" style="1" width="36"/>
    <col collapsed="false" customWidth="true" hidden="false" outlineLevel="0" max="6" min="6" style="1" width="26"/>
  </cols>
  <sheetData>
    <row r="1" customFormat="false" ht="15" hidden="false" customHeight="true" outlineLevel="0" collapsed="false">
      <c r="A1" s="7" t="s">
        <v>236</v>
      </c>
      <c r="B1" s="7" t="s">
        <v>237</v>
      </c>
      <c r="C1" s="7" t="s">
        <v>238</v>
      </c>
      <c r="D1" s="7" t="s">
        <v>239</v>
      </c>
      <c r="E1" s="7" t="s">
        <v>240</v>
      </c>
      <c r="F1" s="7" t="s">
        <v>241</v>
      </c>
    </row>
    <row r="2" customFormat="false" ht="45.75" hidden="false" customHeight="true" outlineLevel="0" collapsed="false">
      <c r="A2" s="8" t="s">
        <v>242</v>
      </c>
      <c r="B2" s="8" t="s">
        <v>243</v>
      </c>
      <c r="C2" s="8" t="s">
        <v>244</v>
      </c>
      <c r="D2" s="8" t="s">
        <v>245</v>
      </c>
      <c r="E2" s="8" t="s">
        <v>246</v>
      </c>
      <c r="F2" s="8" t="s">
        <v>247</v>
      </c>
    </row>
    <row r="3" customFormat="false" ht="15" hidden="false" customHeight="true" outlineLevel="0" collapsed="false">
      <c r="A3" s="8" t="s">
        <v>248</v>
      </c>
      <c r="B3" s="8" t="s">
        <v>249</v>
      </c>
      <c r="C3" s="8" t="s">
        <v>244</v>
      </c>
      <c r="D3" s="8" t="s">
        <v>245</v>
      </c>
      <c r="E3" s="8" t="s">
        <v>250</v>
      </c>
      <c r="F3" s="8" t="s">
        <v>251</v>
      </c>
    </row>
    <row r="4" customFormat="false" ht="34.5" hidden="false" customHeight="true" outlineLevel="0" collapsed="false">
      <c r="A4" s="8" t="s">
        <v>252</v>
      </c>
      <c r="B4" s="8" t="s">
        <v>253</v>
      </c>
      <c r="C4" s="8" t="s">
        <v>254</v>
      </c>
      <c r="D4" s="8" t="s">
        <v>255</v>
      </c>
      <c r="E4" s="8" t="s">
        <v>250</v>
      </c>
      <c r="F4" s="8" t="s">
        <v>256</v>
      </c>
    </row>
    <row r="5" customFormat="false" ht="23.25" hidden="false" customHeight="true" outlineLevel="0" collapsed="false">
      <c r="A5" s="8" t="s">
        <v>257</v>
      </c>
      <c r="B5" s="8" t="s">
        <v>258</v>
      </c>
      <c r="C5" s="8" t="s">
        <v>259</v>
      </c>
      <c r="D5" s="8" t="s">
        <v>260</v>
      </c>
      <c r="E5" s="8" t="s">
        <v>250</v>
      </c>
      <c r="F5" s="8" t="s">
        <v>251</v>
      </c>
    </row>
    <row r="6" customFormat="false" ht="23.25" hidden="false" customHeight="true" outlineLevel="0" collapsed="false">
      <c r="A6" s="8" t="s">
        <v>261</v>
      </c>
      <c r="B6" s="8" t="s">
        <v>262</v>
      </c>
      <c r="C6" s="8" t="s">
        <v>259</v>
      </c>
      <c r="D6" s="8" t="s">
        <v>263</v>
      </c>
      <c r="E6" s="8" t="s">
        <v>250</v>
      </c>
      <c r="F6" s="8" t="s">
        <v>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30"/>
    <col collapsed="false" customWidth="true" hidden="false" outlineLevel="0" max="4" min="4" style="1" width="95"/>
    <col collapsed="false" customWidth="true" hidden="false" outlineLevel="0" max="5" min="5" style="1" width="26"/>
  </cols>
  <sheetData>
    <row r="1" customFormat="false" ht="15" hidden="false" customHeight="true" outlineLevel="0" collapsed="false">
      <c r="A1" s="7" t="s">
        <v>264</v>
      </c>
      <c r="B1" s="7" t="s">
        <v>265</v>
      </c>
      <c r="C1" s="7" t="s">
        <v>266</v>
      </c>
      <c r="D1" s="7" t="s">
        <v>267</v>
      </c>
      <c r="E1" s="7" t="s">
        <v>241</v>
      </c>
    </row>
    <row r="2" customFormat="false" ht="57" hidden="false" customHeight="true" outlineLevel="0" collapsed="false">
      <c r="A2" s="8" t="s">
        <v>268</v>
      </c>
      <c r="B2" s="8" t="s">
        <v>269</v>
      </c>
      <c r="C2" s="8" t="s">
        <v>270</v>
      </c>
      <c r="D2" s="8" t="s">
        <v>271</v>
      </c>
      <c r="E2" s="8" t="s">
        <v>272</v>
      </c>
    </row>
    <row r="3" customFormat="false" ht="23.25" hidden="false" customHeight="true" outlineLevel="0" collapsed="false">
      <c r="A3" s="8" t="s">
        <v>273</v>
      </c>
      <c r="B3" s="8" t="s">
        <v>269</v>
      </c>
      <c r="C3" s="8" t="s">
        <v>274</v>
      </c>
      <c r="D3" s="8" t="s">
        <v>275</v>
      </c>
      <c r="E3" s="8" t="s">
        <v>276</v>
      </c>
    </row>
    <row r="4" customFormat="false" ht="15" hidden="false" customHeight="true" outlineLevel="0" collapsed="false">
      <c r="A4" s="8" t="s">
        <v>277</v>
      </c>
      <c r="B4" s="8" t="s">
        <v>269</v>
      </c>
      <c r="C4" s="8" t="s">
        <v>278</v>
      </c>
      <c r="D4" s="8" t="s">
        <v>279</v>
      </c>
      <c r="E4" s="8" t="s">
        <v>280</v>
      </c>
    </row>
    <row r="5" customFormat="false" ht="15" hidden="false" customHeight="true" outlineLevel="0" collapsed="false">
      <c r="A5" s="8" t="s">
        <v>281</v>
      </c>
      <c r="B5" s="8" t="s">
        <v>282</v>
      </c>
      <c r="C5" s="8" t="s">
        <v>283</v>
      </c>
      <c r="D5" s="8" t="s">
        <v>284</v>
      </c>
      <c r="E5" s="8" t="s">
        <v>285</v>
      </c>
    </row>
    <row r="6" customFormat="false" ht="15" hidden="false" customHeight="true" outlineLevel="0" collapsed="false">
      <c r="A6" s="8" t="s">
        <v>286</v>
      </c>
      <c r="B6" s="8" t="s">
        <v>282</v>
      </c>
      <c r="C6" s="8" t="s">
        <v>287</v>
      </c>
      <c r="D6" s="8" t="s">
        <v>288</v>
      </c>
      <c r="E6" s="8" t="s">
        <v>285</v>
      </c>
    </row>
    <row r="7" customFormat="false" ht="15" hidden="false" customHeight="true" outlineLevel="0" collapsed="false">
      <c r="A7" s="8" t="s">
        <v>289</v>
      </c>
      <c r="B7" s="8" t="s">
        <v>282</v>
      </c>
      <c r="C7" s="8" t="s">
        <v>290</v>
      </c>
      <c r="D7" s="8" t="s">
        <v>291</v>
      </c>
      <c r="E7" s="8" t="s">
        <v>285</v>
      </c>
    </row>
    <row r="8" customFormat="false" ht="15" hidden="false" customHeight="true" outlineLevel="0" collapsed="false">
      <c r="A8" s="8" t="s">
        <v>292</v>
      </c>
      <c r="B8" s="8" t="s">
        <v>293</v>
      </c>
      <c r="C8" s="8" t="s">
        <v>294</v>
      </c>
      <c r="D8" s="8" t="s">
        <v>295</v>
      </c>
      <c r="E8" s="8" t="s">
        <v>296</v>
      </c>
    </row>
    <row r="9" customFormat="false" ht="15" hidden="false" customHeight="true" outlineLevel="0" collapsed="false">
      <c r="A9" s="8" t="s">
        <v>297</v>
      </c>
      <c r="B9" s="8" t="s">
        <v>293</v>
      </c>
      <c r="C9" s="8" t="s">
        <v>298</v>
      </c>
      <c r="D9" s="8" t="s">
        <v>299</v>
      </c>
      <c r="E9" s="8" t="s">
        <v>300</v>
      </c>
    </row>
    <row r="10" customFormat="false" ht="23.25" hidden="false" customHeight="true" outlineLevel="0" collapsed="false">
      <c r="A10" s="8" t="s">
        <v>301</v>
      </c>
      <c r="B10" s="8" t="s">
        <v>293</v>
      </c>
      <c r="C10" s="8" t="s">
        <v>302</v>
      </c>
      <c r="D10" s="8" t="s">
        <v>303</v>
      </c>
      <c r="E10" s="8" t="s">
        <v>304</v>
      </c>
    </row>
    <row r="11" customFormat="false" ht="15" hidden="false" customHeight="true" outlineLevel="0" collapsed="false">
      <c r="A11" s="8" t="s">
        <v>305</v>
      </c>
      <c r="B11" s="8" t="s">
        <v>293</v>
      </c>
      <c r="C11" s="8" t="s">
        <v>306</v>
      </c>
      <c r="D11" s="8" t="s">
        <v>307</v>
      </c>
      <c r="E11" s="8" t="s">
        <v>308</v>
      </c>
    </row>
    <row r="12" customFormat="false" ht="15" hidden="false" customHeight="true" outlineLevel="0" collapsed="false">
      <c r="A12" s="8" t="s">
        <v>309</v>
      </c>
      <c r="B12" s="8" t="s">
        <v>293</v>
      </c>
      <c r="C12" s="8" t="s">
        <v>310</v>
      </c>
      <c r="D12" s="8" t="s">
        <v>311</v>
      </c>
      <c r="E12" s="8" t="s">
        <v>312</v>
      </c>
    </row>
    <row r="13" customFormat="false" ht="23.25" hidden="false" customHeight="true" outlineLevel="0" collapsed="false">
      <c r="A13" s="8" t="s">
        <v>313</v>
      </c>
      <c r="B13" s="8" t="s">
        <v>293</v>
      </c>
      <c r="C13" s="8" t="s">
        <v>314</v>
      </c>
      <c r="D13" s="8" t="s">
        <v>315</v>
      </c>
      <c r="E13" s="8" t="s">
        <v>316</v>
      </c>
    </row>
    <row r="14" customFormat="false" ht="15" hidden="false" customHeight="true" outlineLevel="0" collapsed="false">
      <c r="A14" s="8" t="s">
        <v>317</v>
      </c>
      <c r="B14" s="8" t="s">
        <v>293</v>
      </c>
      <c r="C14" s="8" t="s">
        <v>318</v>
      </c>
      <c r="D14" s="8" t="s">
        <v>319</v>
      </c>
      <c r="E14" s="8" t="s">
        <v>320</v>
      </c>
    </row>
    <row r="15" customFormat="false" ht="45.75" hidden="false" customHeight="true" outlineLevel="0" collapsed="false">
      <c r="A15" s="8" t="s">
        <v>321</v>
      </c>
      <c r="B15" s="8" t="s">
        <v>322</v>
      </c>
      <c r="C15" s="8" t="s">
        <v>323</v>
      </c>
      <c r="D15" s="8" t="s">
        <v>324</v>
      </c>
      <c r="E15" s="8" t="s">
        <v>325</v>
      </c>
    </row>
    <row r="16" customFormat="false" ht="23.25" hidden="false" customHeight="true" outlineLevel="0" collapsed="false">
      <c r="A16" s="8" t="s">
        <v>326</v>
      </c>
      <c r="B16" s="8" t="s">
        <v>327</v>
      </c>
      <c r="C16" s="8" t="s">
        <v>328</v>
      </c>
      <c r="D16" s="8" t="s">
        <v>329</v>
      </c>
      <c r="E16" s="8" t="s">
        <v>330</v>
      </c>
    </row>
    <row r="17" customFormat="false" ht="23.25" hidden="false" customHeight="true" outlineLevel="0" collapsed="false">
      <c r="A17" s="8" t="s">
        <v>331</v>
      </c>
      <c r="B17" s="8" t="s">
        <v>332</v>
      </c>
      <c r="C17" s="8" t="s">
        <v>333</v>
      </c>
      <c r="D17" s="8" t="s">
        <v>334</v>
      </c>
      <c r="E17" s="8" t="s">
        <v>308</v>
      </c>
    </row>
    <row r="18" customFormat="false" ht="23.25" hidden="false" customHeight="true" outlineLevel="0" collapsed="false">
      <c r="A18" s="8" t="s">
        <v>335</v>
      </c>
      <c r="B18" s="8" t="s">
        <v>336</v>
      </c>
      <c r="C18" s="8" t="s">
        <v>337</v>
      </c>
      <c r="D18" s="8" t="s">
        <v>338</v>
      </c>
      <c r="E18" s="8" t="s">
        <v>339</v>
      </c>
    </row>
    <row r="19" customFormat="false" ht="23.25" hidden="false" customHeight="true" outlineLevel="0" collapsed="false">
      <c r="A19" s="8" t="s">
        <v>340</v>
      </c>
      <c r="B19" s="8" t="s">
        <v>341</v>
      </c>
      <c r="C19" s="8" t="s">
        <v>342</v>
      </c>
      <c r="D19" s="8" t="s">
        <v>343</v>
      </c>
      <c r="E19" s="8" t="s">
        <v>312</v>
      </c>
    </row>
    <row r="20" customFormat="false" ht="23.25" hidden="false" customHeight="true" outlineLevel="0" collapsed="false">
      <c r="A20" s="8" t="s">
        <v>344</v>
      </c>
      <c r="B20" s="8" t="s">
        <v>341</v>
      </c>
      <c r="C20" s="8" t="s">
        <v>345</v>
      </c>
      <c r="D20" s="8" t="s">
        <v>346</v>
      </c>
      <c r="E20" s="8" t="s">
        <v>312</v>
      </c>
    </row>
    <row r="21" customFormat="false" ht="15" hidden="false" customHeight="true" outlineLevel="0" collapsed="false">
      <c r="A21" s="8" t="s">
        <v>347</v>
      </c>
      <c r="B21" s="8" t="s">
        <v>341</v>
      </c>
      <c r="C21" s="8" t="s">
        <v>348</v>
      </c>
      <c r="D21" s="8" t="s">
        <v>349</v>
      </c>
      <c r="E21" s="8" t="s">
        <v>312</v>
      </c>
    </row>
    <row r="22" customFormat="false" ht="23.25" hidden="false" customHeight="true" outlineLevel="0" collapsed="false">
      <c r="A22" s="8" t="s">
        <v>350</v>
      </c>
      <c r="B22" s="8" t="s">
        <v>351</v>
      </c>
      <c r="C22" s="8" t="s">
        <v>352</v>
      </c>
      <c r="D22" s="8" t="s">
        <v>353</v>
      </c>
      <c r="E22" s="8" t="s">
        <v>354</v>
      </c>
    </row>
    <row r="23" customFormat="false" ht="23.25" hidden="false" customHeight="true" outlineLevel="0" collapsed="false">
      <c r="A23" s="8" t="s">
        <v>355</v>
      </c>
      <c r="B23" s="8" t="s">
        <v>356</v>
      </c>
      <c r="C23" s="8" t="s">
        <v>357</v>
      </c>
      <c r="D23" s="8" t="s">
        <v>358</v>
      </c>
      <c r="E23" s="8" t="s">
        <v>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2"/>
    <col collapsed="false" customWidth="true" hidden="false" outlineLevel="0" max="3" min="3" style="1" width="34"/>
    <col collapsed="false" customWidth="true" hidden="false" outlineLevel="0" max="4" min="4" style="1" width="30"/>
    <col collapsed="false" customWidth="true" hidden="false" outlineLevel="0" max="5" min="5" style="1" width="20"/>
    <col collapsed="false" customWidth="true" hidden="false" outlineLevel="0" max="6" min="6" style="1" width="40"/>
    <col collapsed="false" customWidth="true" hidden="false" outlineLevel="0" max="7" min="7" style="1" width="34"/>
    <col collapsed="false" customWidth="true" hidden="false" outlineLevel="0" max="8" min="8" style="1" width="20"/>
    <col collapsed="false" customWidth="true" hidden="false" outlineLevel="0" max="9" min="9" style="1" width="50"/>
  </cols>
  <sheetData>
    <row r="1" customFormat="false" ht="15" hidden="false" customHeight="true" outlineLevel="0" collapsed="false">
      <c r="A1" s="7" t="s">
        <v>360</v>
      </c>
      <c r="B1" s="7" t="s">
        <v>361</v>
      </c>
      <c r="C1" s="7" t="s">
        <v>362</v>
      </c>
      <c r="D1" s="7" t="s">
        <v>363</v>
      </c>
      <c r="E1" s="7" t="s">
        <v>364</v>
      </c>
      <c r="F1" s="7" t="s">
        <v>365</v>
      </c>
      <c r="G1" s="7" t="s">
        <v>366</v>
      </c>
      <c r="H1" s="7" t="s">
        <v>241</v>
      </c>
      <c r="I1" s="7" t="s">
        <v>367</v>
      </c>
    </row>
    <row r="2" customFormat="false" ht="23.25" hidden="false" customHeight="true" outlineLevel="0" collapsed="false">
      <c r="A2" s="9" t="s">
        <v>368</v>
      </c>
      <c r="B2" s="9" t="s">
        <v>369</v>
      </c>
      <c r="C2" s="9" t="s">
        <v>370</v>
      </c>
      <c r="D2" s="9" t="s">
        <v>371</v>
      </c>
      <c r="E2" s="9" t="s">
        <v>372</v>
      </c>
      <c r="F2" s="9" t="s">
        <v>373</v>
      </c>
      <c r="G2" s="9" t="s">
        <v>374</v>
      </c>
      <c r="H2" s="9" t="s">
        <v>375</v>
      </c>
      <c r="I2" s="9" t="s">
        <v>376</v>
      </c>
    </row>
    <row r="3" customFormat="false" ht="15" hidden="false" customHeight="true" outlineLevel="0" collapsed="false">
      <c r="A3" s="9" t="s">
        <v>368</v>
      </c>
      <c r="B3" s="9" t="s">
        <v>369</v>
      </c>
      <c r="C3" s="9" t="s">
        <v>377</v>
      </c>
      <c r="D3" s="9" t="s">
        <v>378</v>
      </c>
      <c r="E3" s="9" t="s">
        <v>372</v>
      </c>
      <c r="F3" s="9" t="s">
        <v>379</v>
      </c>
      <c r="G3" s="9" t="s">
        <v>374</v>
      </c>
      <c r="H3" s="9" t="s">
        <v>375</v>
      </c>
      <c r="I3" s="9"/>
    </row>
    <row r="4" customFormat="false" ht="15" hidden="false" customHeight="true" outlineLevel="0" collapsed="false">
      <c r="A4" s="9" t="s">
        <v>368</v>
      </c>
      <c r="B4" s="9" t="s">
        <v>369</v>
      </c>
      <c r="C4" s="9" t="s">
        <v>380</v>
      </c>
      <c r="D4" s="9" t="s">
        <v>381</v>
      </c>
      <c r="E4" s="9" t="s">
        <v>372</v>
      </c>
      <c r="F4" s="9" t="s">
        <v>379</v>
      </c>
      <c r="G4" s="9" t="s">
        <v>374</v>
      </c>
      <c r="H4" s="9" t="s">
        <v>375</v>
      </c>
      <c r="I4" s="9"/>
    </row>
    <row r="5" customFormat="false" ht="23.25" hidden="false" customHeight="true" outlineLevel="0" collapsed="false">
      <c r="A5" s="9" t="s">
        <v>368</v>
      </c>
      <c r="B5" s="9" t="s">
        <v>369</v>
      </c>
      <c r="C5" s="9" t="s">
        <v>382</v>
      </c>
      <c r="D5" s="9" t="s">
        <v>383</v>
      </c>
      <c r="E5" s="9" t="s">
        <v>372</v>
      </c>
      <c r="F5" s="9" t="s">
        <v>379</v>
      </c>
      <c r="G5" s="9" t="s">
        <v>374</v>
      </c>
      <c r="H5" s="9" t="s">
        <v>375</v>
      </c>
      <c r="I5" s="9" t="s">
        <v>384</v>
      </c>
    </row>
    <row r="6" customFormat="false" ht="23.25" hidden="false" customHeight="true" outlineLevel="0" collapsed="false">
      <c r="A6" s="8" t="s">
        <v>385</v>
      </c>
      <c r="B6" s="8" t="s">
        <v>386</v>
      </c>
      <c r="C6" s="8" t="s">
        <v>387</v>
      </c>
      <c r="D6" s="8" t="s">
        <v>388</v>
      </c>
      <c r="E6" s="8" t="s">
        <v>372</v>
      </c>
      <c r="F6" s="8" t="s">
        <v>389</v>
      </c>
      <c r="G6" s="8" t="s">
        <v>390</v>
      </c>
      <c r="H6" s="8" t="s">
        <v>391</v>
      </c>
      <c r="I6" s="8" t="s">
        <v>392</v>
      </c>
    </row>
    <row r="7" customFormat="false" ht="15" hidden="false" customHeight="true" outlineLevel="0" collapsed="false">
      <c r="A7" s="8" t="s">
        <v>385</v>
      </c>
      <c r="B7" s="8" t="s">
        <v>393</v>
      </c>
      <c r="C7" s="8" t="s">
        <v>394</v>
      </c>
      <c r="D7" s="8" t="s">
        <v>395</v>
      </c>
      <c r="E7" s="8" t="s">
        <v>372</v>
      </c>
      <c r="F7" s="8" t="s">
        <v>389</v>
      </c>
      <c r="G7" s="8" t="s">
        <v>390</v>
      </c>
      <c r="H7" s="8" t="s">
        <v>396</v>
      </c>
      <c r="I7" s="8"/>
    </row>
    <row r="8" customFormat="false" ht="15" hidden="false" customHeight="true" outlineLevel="0" collapsed="false">
      <c r="A8" s="8" t="s">
        <v>385</v>
      </c>
      <c r="B8" s="8" t="s">
        <v>393</v>
      </c>
      <c r="C8" s="8" t="s">
        <v>397</v>
      </c>
      <c r="D8" s="8" t="s">
        <v>398</v>
      </c>
      <c r="E8" s="8" t="s">
        <v>372</v>
      </c>
      <c r="F8" s="8" t="s">
        <v>389</v>
      </c>
      <c r="G8" s="8" t="s">
        <v>390</v>
      </c>
      <c r="H8" s="8" t="s">
        <v>396</v>
      </c>
      <c r="I8" s="8" t="s">
        <v>399</v>
      </c>
    </row>
    <row r="9" customFormat="false" ht="15" hidden="false" customHeight="true" outlineLevel="0" collapsed="false">
      <c r="A9" s="8" t="s">
        <v>385</v>
      </c>
      <c r="B9" s="8" t="s">
        <v>393</v>
      </c>
      <c r="C9" s="8" t="s">
        <v>400</v>
      </c>
      <c r="D9" s="8" t="s">
        <v>401</v>
      </c>
      <c r="E9" s="8" t="s">
        <v>372</v>
      </c>
      <c r="F9" s="8" t="s">
        <v>389</v>
      </c>
      <c r="G9" s="8" t="s">
        <v>390</v>
      </c>
      <c r="H9" s="8" t="s">
        <v>396</v>
      </c>
      <c r="I9" s="8" t="s">
        <v>402</v>
      </c>
    </row>
    <row r="10" customFormat="false" ht="15" hidden="false" customHeight="true" outlineLevel="0" collapsed="false">
      <c r="A10" s="8" t="s">
        <v>385</v>
      </c>
      <c r="B10" s="8" t="s">
        <v>393</v>
      </c>
      <c r="C10" s="8" t="s">
        <v>403</v>
      </c>
      <c r="D10" s="8" t="s">
        <v>404</v>
      </c>
      <c r="E10" s="8" t="s">
        <v>372</v>
      </c>
      <c r="F10" s="8" t="s">
        <v>389</v>
      </c>
      <c r="G10" s="8" t="s">
        <v>390</v>
      </c>
      <c r="H10" s="8" t="s">
        <v>396</v>
      </c>
      <c r="I10" s="8" t="s">
        <v>405</v>
      </c>
    </row>
    <row r="11" customFormat="false" ht="23.25" hidden="false" customHeight="true" outlineLevel="0" collapsed="false">
      <c r="A11" s="8" t="s">
        <v>406</v>
      </c>
      <c r="B11" s="8" t="s">
        <v>407</v>
      </c>
      <c r="C11" s="8" t="s">
        <v>408</v>
      </c>
      <c r="D11" s="8" t="s">
        <v>409</v>
      </c>
      <c r="E11" s="8" t="s">
        <v>410</v>
      </c>
      <c r="F11" s="8" t="s">
        <v>411</v>
      </c>
      <c r="G11" s="8" t="s">
        <v>412</v>
      </c>
      <c r="H11" s="8" t="s">
        <v>413</v>
      </c>
      <c r="I11" s="8" t="s">
        <v>414</v>
      </c>
    </row>
    <row r="12" customFormat="false" ht="15" hidden="false" customHeight="true" outlineLevel="0" collapsed="false">
      <c r="A12" s="8" t="s">
        <v>406</v>
      </c>
      <c r="B12" s="8" t="s">
        <v>407</v>
      </c>
      <c r="C12" s="8" t="s">
        <v>415</v>
      </c>
      <c r="D12" s="8" t="s">
        <v>416</v>
      </c>
      <c r="E12" s="8" t="s">
        <v>410</v>
      </c>
      <c r="F12" s="8" t="s">
        <v>417</v>
      </c>
      <c r="G12" s="8" t="s">
        <v>412</v>
      </c>
      <c r="H12" s="8" t="s">
        <v>413</v>
      </c>
      <c r="I12" s="8" t="s">
        <v>418</v>
      </c>
    </row>
    <row r="13" customFormat="false" ht="23.25" hidden="false" customHeight="true" outlineLevel="0" collapsed="false">
      <c r="A13" s="8" t="s">
        <v>406</v>
      </c>
      <c r="B13" s="8" t="s">
        <v>407</v>
      </c>
      <c r="C13" s="8" t="s">
        <v>419</v>
      </c>
      <c r="D13" s="8" t="s">
        <v>420</v>
      </c>
      <c r="E13" s="8" t="s">
        <v>410</v>
      </c>
      <c r="F13" s="8" t="s">
        <v>417</v>
      </c>
      <c r="G13" s="8" t="s">
        <v>412</v>
      </c>
      <c r="H13" s="8" t="s">
        <v>413</v>
      </c>
      <c r="I13" s="8" t="s">
        <v>421</v>
      </c>
    </row>
    <row r="14" customFormat="false" ht="34.5" hidden="false" customHeight="true" outlineLevel="0" collapsed="false">
      <c r="A14" s="8" t="s">
        <v>406</v>
      </c>
      <c r="B14" s="8" t="s">
        <v>407</v>
      </c>
      <c r="C14" s="8" t="s">
        <v>422</v>
      </c>
      <c r="D14" s="8" t="s">
        <v>423</v>
      </c>
      <c r="E14" s="8" t="s">
        <v>372</v>
      </c>
      <c r="F14" s="8" t="s">
        <v>379</v>
      </c>
      <c r="G14" s="8" t="s">
        <v>424</v>
      </c>
      <c r="H14" s="8" t="s">
        <v>425</v>
      </c>
      <c r="I14" s="8" t="s">
        <v>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4"/>
    <col collapsed="false" customWidth="true" hidden="false" outlineLevel="0" max="3" min="3" style="1" width="14"/>
    <col collapsed="false" customWidth="true" hidden="false" outlineLevel="0" max="5" min="4" style="1" width="56"/>
    <col collapsed="false" customWidth="true" hidden="false" outlineLevel="0" max="6" min="6" style="1" width="44"/>
    <col collapsed="false" customWidth="true" hidden="false" outlineLevel="0" max="7" min="7" style="1" width="32"/>
    <col collapsed="false" customWidth="true" hidden="false" outlineLevel="0" max="8" min="8" style="1" width="16"/>
    <col collapsed="false" customWidth="true" hidden="false" outlineLevel="0" max="9" min="9" style="1" width="28"/>
    <col collapsed="false" customWidth="true" hidden="false" outlineLevel="0" max="10" min="10" style="1" width="40"/>
  </cols>
  <sheetData>
    <row r="1" customFormat="false" ht="23.25" hidden="false" customHeight="true" outlineLevel="0" collapsed="false">
      <c r="A1" s="7" t="s">
        <v>427</v>
      </c>
      <c r="B1" s="7" t="s">
        <v>428</v>
      </c>
      <c r="C1" s="7" t="s">
        <v>429</v>
      </c>
      <c r="D1" s="7" t="s">
        <v>430</v>
      </c>
      <c r="E1" s="7" t="s">
        <v>431</v>
      </c>
      <c r="F1" s="7" t="s">
        <v>432</v>
      </c>
      <c r="G1" s="7" t="s">
        <v>433</v>
      </c>
      <c r="H1" s="7" t="s">
        <v>434</v>
      </c>
      <c r="I1" s="7" t="s">
        <v>435</v>
      </c>
      <c r="J1" s="7" t="s">
        <v>436</v>
      </c>
    </row>
    <row r="2" customFormat="false" ht="45.75" hidden="false" customHeight="true" outlineLevel="0" collapsed="false">
      <c r="A2" s="8" t="s">
        <v>255</v>
      </c>
      <c r="B2" s="8" t="s">
        <v>437</v>
      </c>
      <c r="C2" s="8" t="s">
        <v>252</v>
      </c>
      <c r="D2" s="8" t="s">
        <v>438</v>
      </c>
      <c r="E2" s="8" t="s">
        <v>439</v>
      </c>
      <c r="F2" s="8" t="s">
        <v>440</v>
      </c>
      <c r="G2" s="8" t="s">
        <v>441</v>
      </c>
      <c r="H2" s="8" t="s">
        <v>442</v>
      </c>
      <c r="I2" s="8" t="s">
        <v>260</v>
      </c>
      <c r="J2" s="8" t="s">
        <v>443</v>
      </c>
    </row>
    <row r="3" customFormat="false" ht="23.25" hidden="false" customHeight="true" outlineLevel="0" collapsed="false">
      <c r="A3" s="8" t="s">
        <v>260</v>
      </c>
      <c r="B3" s="8" t="s">
        <v>444</v>
      </c>
      <c r="C3" s="8" t="s">
        <v>257</v>
      </c>
      <c r="D3" s="8" t="s">
        <v>445</v>
      </c>
      <c r="E3" s="8" t="s">
        <v>446</v>
      </c>
      <c r="F3" s="8" t="s">
        <v>447</v>
      </c>
      <c r="G3" s="8" t="s">
        <v>448</v>
      </c>
      <c r="H3" s="8" t="s">
        <v>442</v>
      </c>
      <c r="I3" s="8" t="s">
        <v>263</v>
      </c>
      <c r="J3" s="8" t="s">
        <v>247</v>
      </c>
    </row>
    <row r="4" customFormat="false" ht="45.75" hidden="false" customHeight="true" outlineLevel="0" collapsed="false">
      <c r="A4" s="8" t="s">
        <v>263</v>
      </c>
      <c r="B4" s="8" t="s">
        <v>449</v>
      </c>
      <c r="C4" s="8" t="s">
        <v>261</v>
      </c>
      <c r="D4" s="8" t="s">
        <v>450</v>
      </c>
      <c r="E4" s="8" t="s">
        <v>451</v>
      </c>
      <c r="F4" s="8" t="s">
        <v>452</v>
      </c>
      <c r="G4" s="8" t="s">
        <v>453</v>
      </c>
      <c r="H4" s="8" t="s">
        <v>442</v>
      </c>
      <c r="I4" s="8" t="s">
        <v>454</v>
      </c>
      <c r="J4" s="8" t="s">
        <v>455</v>
      </c>
    </row>
    <row r="5" customFormat="false" ht="23.25" hidden="false" customHeight="true" outlineLevel="0" collapsed="false">
      <c r="A5" s="8" t="s">
        <v>442</v>
      </c>
      <c r="B5" s="8" t="s">
        <v>456</v>
      </c>
      <c r="C5" s="8" t="s">
        <v>457</v>
      </c>
      <c r="D5" s="8" t="s">
        <v>458</v>
      </c>
      <c r="E5" s="8" t="s">
        <v>459</v>
      </c>
      <c r="F5" s="8" t="s">
        <v>460</v>
      </c>
      <c r="G5" s="8" t="s">
        <v>461</v>
      </c>
      <c r="H5" s="8" t="s">
        <v>462</v>
      </c>
      <c r="I5" s="8" t="s">
        <v>462</v>
      </c>
      <c r="J5" s="8" t="s">
        <v>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
    <col collapsed="false" customWidth="true" hidden="false" outlineLevel="0" max="3" min="3" style="1" width="40"/>
    <col collapsed="false" customWidth="true" hidden="false" outlineLevel="0" max="5" min="4" style="1" width="12"/>
    <col collapsed="false" customWidth="true" hidden="false" outlineLevel="0" max="6" min="6" style="1" width="30"/>
    <col collapsed="false" customWidth="true" hidden="false" outlineLevel="0" max="7" min="7" style="1" width="24"/>
    <col collapsed="false" customWidth="true" hidden="false" outlineLevel="0" max="8" min="8" style="1" width="20"/>
    <col collapsed="false" customWidth="true" hidden="false" outlineLevel="0" max="9" min="9" style="1" width="18"/>
    <col collapsed="false" customWidth="true" hidden="false" outlineLevel="0" max="10" min="10" style="1" width="12"/>
    <col collapsed="false" customWidth="true" hidden="false" outlineLevel="0" max="11" min="11" style="1" width="34"/>
    <col collapsed="false" customWidth="true" hidden="false" outlineLevel="0" max="12" min="12" style="1" width="22"/>
    <col collapsed="false" customWidth="true" hidden="false" outlineLevel="0" max="13" min="13" style="1" width="12"/>
    <col collapsed="false" customWidth="true" hidden="false" outlineLevel="0" max="14" min="14" style="1" width="42"/>
    <col collapsed="false" customWidth="true" hidden="false" outlineLevel="0" max="15" min="15" style="1" width="60"/>
  </cols>
  <sheetData>
    <row r="1" customFormat="false" ht="23.25" hidden="false" customHeight="true" outlineLevel="0" collapsed="false">
      <c r="A1" s="7" t="s">
        <v>427</v>
      </c>
      <c r="B1" s="7" t="s">
        <v>464</v>
      </c>
      <c r="C1" s="7" t="s">
        <v>465</v>
      </c>
      <c r="D1" s="7" t="s">
        <v>466</v>
      </c>
      <c r="E1" s="7" t="s">
        <v>467</v>
      </c>
      <c r="F1" s="7" t="s">
        <v>468</v>
      </c>
      <c r="G1" s="7" t="s">
        <v>469</v>
      </c>
      <c r="H1" s="7" t="s">
        <v>470</v>
      </c>
      <c r="I1" s="7" t="s">
        <v>471</v>
      </c>
      <c r="J1" s="7" t="s">
        <v>429</v>
      </c>
      <c r="K1" s="7" t="s">
        <v>472</v>
      </c>
      <c r="L1" s="7" t="s">
        <v>473</v>
      </c>
      <c r="M1" s="7" t="s">
        <v>474</v>
      </c>
      <c r="N1" s="7" t="s">
        <v>241</v>
      </c>
      <c r="O1" s="7" t="s">
        <v>367</v>
      </c>
    </row>
    <row r="2" customFormat="false" ht="15" hidden="false" customHeight="true" outlineLevel="0" collapsed="false">
      <c r="A2" s="8" t="s">
        <v>255</v>
      </c>
      <c r="B2" s="8" t="s">
        <v>475</v>
      </c>
      <c r="C2" s="8" t="s">
        <v>476</v>
      </c>
      <c r="D2" s="8" t="s">
        <v>477</v>
      </c>
      <c r="E2" s="8" t="s">
        <v>478</v>
      </c>
      <c r="F2" s="8" t="s">
        <v>479</v>
      </c>
      <c r="G2" s="8" t="s">
        <v>480</v>
      </c>
      <c r="H2" s="8" t="s">
        <v>481</v>
      </c>
      <c r="I2" s="8" t="s">
        <v>482</v>
      </c>
      <c r="J2" s="8" t="s">
        <v>242</v>
      </c>
      <c r="K2" s="8" t="s">
        <v>483</v>
      </c>
      <c r="L2" s="8" t="s">
        <v>393</v>
      </c>
      <c r="M2" s="8" t="s">
        <v>484</v>
      </c>
      <c r="N2" s="8" t="s">
        <v>485</v>
      </c>
      <c r="O2" s="8"/>
    </row>
    <row r="3" customFormat="false" ht="15" hidden="false" customHeight="true" outlineLevel="0" collapsed="false">
      <c r="A3" s="8" t="s">
        <v>255</v>
      </c>
      <c r="B3" s="8" t="s">
        <v>486</v>
      </c>
      <c r="C3" s="8" t="s">
        <v>487</v>
      </c>
      <c r="D3" s="8" t="s">
        <v>477</v>
      </c>
      <c r="E3" s="8" t="s">
        <v>488</v>
      </c>
      <c r="F3" s="8" t="s">
        <v>489</v>
      </c>
      <c r="G3" s="8" t="s">
        <v>369</v>
      </c>
      <c r="H3" s="8" t="s">
        <v>481</v>
      </c>
      <c r="I3" s="8" t="s">
        <v>482</v>
      </c>
      <c r="J3" s="8" t="s">
        <v>242</v>
      </c>
      <c r="K3" s="8" t="s">
        <v>483</v>
      </c>
      <c r="L3" s="8" t="s">
        <v>393</v>
      </c>
      <c r="M3" s="8" t="s">
        <v>484</v>
      </c>
      <c r="N3" s="8" t="s">
        <v>490</v>
      </c>
      <c r="O3" s="8"/>
    </row>
    <row r="4" customFormat="false" ht="15" hidden="false" customHeight="true" outlineLevel="0" collapsed="false">
      <c r="A4" s="8" t="s">
        <v>255</v>
      </c>
      <c r="B4" s="8" t="s">
        <v>491</v>
      </c>
      <c r="C4" s="8" t="s">
        <v>492</v>
      </c>
      <c r="D4" s="8" t="s">
        <v>477</v>
      </c>
      <c r="E4" s="8" t="s">
        <v>488</v>
      </c>
      <c r="F4" s="8" t="s">
        <v>489</v>
      </c>
      <c r="G4" s="8" t="s">
        <v>369</v>
      </c>
      <c r="H4" s="8" t="s">
        <v>481</v>
      </c>
      <c r="I4" s="8" t="s">
        <v>482</v>
      </c>
      <c r="J4" s="8" t="s">
        <v>242</v>
      </c>
      <c r="K4" s="8" t="s">
        <v>483</v>
      </c>
      <c r="L4" s="8" t="s">
        <v>393</v>
      </c>
      <c r="M4" s="8" t="s">
        <v>484</v>
      </c>
      <c r="N4" s="8" t="s">
        <v>493</v>
      </c>
      <c r="O4" s="8"/>
    </row>
    <row r="5" customFormat="false" ht="15" hidden="false" customHeight="true" outlineLevel="0" collapsed="false">
      <c r="A5" s="8" t="s">
        <v>255</v>
      </c>
      <c r="B5" s="8" t="s">
        <v>494</v>
      </c>
      <c r="C5" s="8" t="s">
        <v>495</v>
      </c>
      <c r="D5" s="8" t="s">
        <v>477</v>
      </c>
      <c r="E5" s="8" t="s">
        <v>478</v>
      </c>
      <c r="F5" s="8" t="s">
        <v>479</v>
      </c>
      <c r="G5" s="8" t="s">
        <v>480</v>
      </c>
      <c r="H5" s="8" t="s">
        <v>481</v>
      </c>
      <c r="I5" s="8" t="s">
        <v>482</v>
      </c>
      <c r="J5" s="8" t="s">
        <v>496</v>
      </c>
      <c r="K5" s="8" t="s">
        <v>497</v>
      </c>
      <c r="L5" s="8" t="s">
        <v>393</v>
      </c>
      <c r="M5" s="8" t="s">
        <v>484</v>
      </c>
      <c r="N5" s="8" t="s">
        <v>498</v>
      </c>
      <c r="O5" s="8"/>
    </row>
    <row r="6" customFormat="false" ht="15" hidden="false" customHeight="true" outlineLevel="0" collapsed="false">
      <c r="A6" s="8" t="s">
        <v>255</v>
      </c>
      <c r="B6" s="8" t="s">
        <v>499</v>
      </c>
      <c r="C6" s="8" t="s">
        <v>500</v>
      </c>
      <c r="D6" s="8" t="s">
        <v>477</v>
      </c>
      <c r="E6" s="8" t="s">
        <v>478</v>
      </c>
      <c r="F6" s="8" t="s">
        <v>479</v>
      </c>
      <c r="G6" s="8" t="s">
        <v>480</v>
      </c>
      <c r="H6" s="8" t="s">
        <v>481</v>
      </c>
      <c r="I6" s="8" t="s">
        <v>482</v>
      </c>
      <c r="J6" s="8" t="s">
        <v>242</v>
      </c>
      <c r="K6" s="8" t="s">
        <v>497</v>
      </c>
      <c r="L6" s="8" t="s">
        <v>393</v>
      </c>
      <c r="M6" s="8" t="s">
        <v>484</v>
      </c>
      <c r="N6" s="8" t="s">
        <v>501</v>
      </c>
      <c r="O6" s="8"/>
    </row>
    <row r="7" customFormat="false" ht="23.25" hidden="false" customHeight="true" outlineLevel="0" collapsed="false">
      <c r="A7" s="8" t="s">
        <v>255</v>
      </c>
      <c r="B7" s="8" t="s">
        <v>502</v>
      </c>
      <c r="C7" s="8" t="s">
        <v>503</v>
      </c>
      <c r="D7" s="8" t="s">
        <v>477</v>
      </c>
      <c r="E7" s="8" t="s">
        <v>488</v>
      </c>
      <c r="F7" s="8" t="s">
        <v>489</v>
      </c>
      <c r="G7" s="8" t="s">
        <v>369</v>
      </c>
      <c r="H7" s="8" t="s">
        <v>481</v>
      </c>
      <c r="I7" s="8" t="s">
        <v>482</v>
      </c>
      <c r="J7" s="8" t="s">
        <v>242</v>
      </c>
      <c r="K7" s="8" t="s">
        <v>483</v>
      </c>
      <c r="L7" s="8" t="s">
        <v>393</v>
      </c>
      <c r="M7" s="8" t="s">
        <v>484</v>
      </c>
      <c r="N7" s="8" t="s">
        <v>504</v>
      </c>
      <c r="O7" s="8"/>
    </row>
    <row r="8" customFormat="false" ht="15" hidden="false" customHeight="true" outlineLevel="0" collapsed="false">
      <c r="A8" s="8" t="s">
        <v>255</v>
      </c>
      <c r="B8" s="8" t="s">
        <v>505</v>
      </c>
      <c r="C8" s="8" t="s">
        <v>506</v>
      </c>
      <c r="D8" s="8" t="s">
        <v>477</v>
      </c>
      <c r="E8" s="8" t="s">
        <v>507</v>
      </c>
      <c r="F8" s="8" t="s">
        <v>479</v>
      </c>
      <c r="G8" s="8" t="s">
        <v>369</v>
      </c>
      <c r="H8" s="8" t="s">
        <v>481</v>
      </c>
      <c r="I8" s="8" t="s">
        <v>508</v>
      </c>
      <c r="J8" s="8" t="s">
        <v>242</v>
      </c>
      <c r="K8" s="8" t="s">
        <v>497</v>
      </c>
      <c r="L8" s="8" t="s">
        <v>393</v>
      </c>
      <c r="M8" s="8" t="s">
        <v>484</v>
      </c>
      <c r="N8" s="8" t="s">
        <v>509</v>
      </c>
      <c r="O8" s="8"/>
    </row>
    <row r="9" customFormat="false" ht="15" hidden="false" customHeight="true" outlineLevel="0" collapsed="false">
      <c r="A9" s="8" t="s">
        <v>255</v>
      </c>
      <c r="B9" s="8" t="s">
        <v>510</v>
      </c>
      <c r="C9" s="8" t="s">
        <v>511</v>
      </c>
      <c r="D9" s="8" t="s">
        <v>477</v>
      </c>
      <c r="E9" s="8" t="s">
        <v>507</v>
      </c>
      <c r="F9" s="8" t="s">
        <v>479</v>
      </c>
      <c r="G9" s="8" t="s">
        <v>369</v>
      </c>
      <c r="H9" s="8" t="s">
        <v>481</v>
      </c>
      <c r="I9" s="8" t="s">
        <v>512</v>
      </c>
      <c r="J9" s="8" t="s">
        <v>242</v>
      </c>
      <c r="K9" s="8" t="s">
        <v>497</v>
      </c>
      <c r="L9" s="8" t="s">
        <v>393</v>
      </c>
      <c r="M9" s="8" t="s">
        <v>484</v>
      </c>
      <c r="N9" s="8" t="s">
        <v>513</v>
      </c>
      <c r="O9" s="8"/>
    </row>
    <row r="10" customFormat="false" ht="15" hidden="false" customHeight="true" outlineLevel="0" collapsed="false">
      <c r="A10" s="8" t="s">
        <v>255</v>
      </c>
      <c r="B10" s="8" t="s">
        <v>514</v>
      </c>
      <c r="C10" s="8" t="s">
        <v>515</v>
      </c>
      <c r="D10" s="8" t="s">
        <v>477</v>
      </c>
      <c r="E10" s="8" t="s">
        <v>507</v>
      </c>
      <c r="F10" s="8" t="s">
        <v>479</v>
      </c>
      <c r="G10" s="8" t="s">
        <v>369</v>
      </c>
      <c r="H10" s="8" t="s">
        <v>481</v>
      </c>
      <c r="I10" s="8" t="s">
        <v>508</v>
      </c>
      <c r="J10" s="8" t="s">
        <v>242</v>
      </c>
      <c r="K10" s="8" t="s">
        <v>497</v>
      </c>
      <c r="L10" s="8" t="s">
        <v>393</v>
      </c>
      <c r="M10" s="8" t="s">
        <v>484</v>
      </c>
      <c r="N10" s="8" t="s">
        <v>516</v>
      </c>
      <c r="O10" s="8"/>
    </row>
    <row r="11" customFormat="false" ht="23.25" hidden="false" customHeight="true" outlineLevel="0" collapsed="false">
      <c r="A11" s="8" t="s">
        <v>255</v>
      </c>
      <c r="B11" s="8" t="s">
        <v>517</v>
      </c>
      <c r="C11" s="8" t="s">
        <v>518</v>
      </c>
      <c r="D11" s="8" t="s">
        <v>477</v>
      </c>
      <c r="E11" s="8" t="s">
        <v>507</v>
      </c>
      <c r="F11" s="8" t="s">
        <v>479</v>
      </c>
      <c r="G11" s="8" t="s">
        <v>369</v>
      </c>
      <c r="H11" s="8" t="s">
        <v>481</v>
      </c>
      <c r="I11" s="8" t="s">
        <v>508</v>
      </c>
      <c r="J11" s="8" t="s">
        <v>242</v>
      </c>
      <c r="K11" s="8" t="s">
        <v>497</v>
      </c>
      <c r="L11" s="8" t="s">
        <v>393</v>
      </c>
      <c r="M11" s="8" t="s">
        <v>484</v>
      </c>
      <c r="N11" s="8" t="s">
        <v>519</v>
      </c>
      <c r="O11" s="8"/>
    </row>
    <row r="12" customFormat="false" ht="23.25" hidden="false" customHeight="true" outlineLevel="0" collapsed="false">
      <c r="A12" s="8" t="s">
        <v>255</v>
      </c>
      <c r="B12" s="8" t="s">
        <v>520</v>
      </c>
      <c r="C12" s="8" t="s">
        <v>521</v>
      </c>
      <c r="D12" s="8" t="s">
        <v>477</v>
      </c>
      <c r="E12" s="8" t="s">
        <v>507</v>
      </c>
      <c r="F12" s="8" t="s">
        <v>479</v>
      </c>
      <c r="G12" s="8" t="s">
        <v>369</v>
      </c>
      <c r="H12" s="8" t="s">
        <v>481</v>
      </c>
      <c r="I12" s="8" t="s">
        <v>522</v>
      </c>
      <c r="J12" s="8" t="s">
        <v>252</v>
      </c>
      <c r="K12" s="8" t="s">
        <v>523</v>
      </c>
      <c r="L12" s="8" t="s">
        <v>393</v>
      </c>
      <c r="M12" s="8" t="s">
        <v>484</v>
      </c>
      <c r="N12" s="8" t="s">
        <v>524</v>
      </c>
      <c r="O12" s="8"/>
    </row>
    <row r="13" customFormat="false" ht="15" hidden="false" customHeight="true" outlineLevel="0" collapsed="false">
      <c r="A13" s="8" t="s">
        <v>255</v>
      </c>
      <c r="B13" s="8" t="s">
        <v>525</v>
      </c>
      <c r="C13" s="8" t="s">
        <v>526</v>
      </c>
      <c r="D13" s="8" t="s">
        <v>477</v>
      </c>
      <c r="E13" s="8" t="s">
        <v>478</v>
      </c>
      <c r="F13" s="8" t="s">
        <v>479</v>
      </c>
      <c r="G13" s="8" t="s">
        <v>480</v>
      </c>
      <c r="H13" s="8" t="s">
        <v>481</v>
      </c>
      <c r="I13" s="8" t="s">
        <v>527</v>
      </c>
      <c r="J13" s="8" t="s">
        <v>242</v>
      </c>
      <c r="K13" s="8" t="s">
        <v>497</v>
      </c>
      <c r="L13" s="8" t="s">
        <v>393</v>
      </c>
      <c r="M13" s="8" t="s">
        <v>484</v>
      </c>
      <c r="N13" s="8" t="s">
        <v>528</v>
      </c>
      <c r="O13" s="8"/>
    </row>
    <row r="14" customFormat="false" ht="15" hidden="false" customHeight="true" outlineLevel="0" collapsed="false">
      <c r="A14" s="8" t="s">
        <v>255</v>
      </c>
      <c r="B14" s="8" t="s">
        <v>529</v>
      </c>
      <c r="C14" s="8" t="s">
        <v>530</v>
      </c>
      <c r="D14" s="8" t="s">
        <v>477</v>
      </c>
      <c r="E14" s="8" t="s">
        <v>478</v>
      </c>
      <c r="F14" s="8" t="s">
        <v>479</v>
      </c>
      <c r="G14" s="8" t="s">
        <v>480</v>
      </c>
      <c r="H14" s="8" t="s">
        <v>481</v>
      </c>
      <c r="I14" s="8" t="s">
        <v>527</v>
      </c>
      <c r="J14" s="8" t="s">
        <v>242</v>
      </c>
      <c r="K14" s="8" t="s">
        <v>497</v>
      </c>
      <c r="L14" s="8" t="s">
        <v>393</v>
      </c>
      <c r="M14" s="8" t="s">
        <v>484</v>
      </c>
      <c r="N14" s="8" t="s">
        <v>528</v>
      </c>
      <c r="O14" s="8"/>
    </row>
    <row r="15" customFormat="false" ht="15" hidden="false" customHeight="true" outlineLevel="0" collapsed="false">
      <c r="A15" s="8" t="s">
        <v>255</v>
      </c>
      <c r="B15" s="8" t="s">
        <v>531</v>
      </c>
      <c r="C15" s="8" t="s">
        <v>532</v>
      </c>
      <c r="D15" s="8" t="s">
        <v>477</v>
      </c>
      <c r="E15" s="8" t="s">
        <v>478</v>
      </c>
      <c r="F15" s="8" t="s">
        <v>479</v>
      </c>
      <c r="G15" s="8" t="s">
        <v>480</v>
      </c>
      <c r="H15" s="8" t="s">
        <v>481</v>
      </c>
      <c r="I15" s="8" t="s">
        <v>527</v>
      </c>
      <c r="J15" s="8" t="s">
        <v>252</v>
      </c>
      <c r="K15" s="8" t="s">
        <v>533</v>
      </c>
      <c r="L15" s="8" t="s">
        <v>393</v>
      </c>
      <c r="M15" s="8" t="s">
        <v>484</v>
      </c>
      <c r="N15" s="8" t="s">
        <v>534</v>
      </c>
      <c r="O15" s="8"/>
    </row>
    <row r="16" customFormat="false" ht="15" hidden="false" customHeight="true" outlineLevel="0" collapsed="false">
      <c r="A16" s="8" t="s">
        <v>255</v>
      </c>
      <c r="B16" s="8" t="s">
        <v>535</v>
      </c>
      <c r="C16" s="8" t="s">
        <v>536</v>
      </c>
      <c r="D16" s="8" t="s">
        <v>477</v>
      </c>
      <c r="E16" s="8" t="s">
        <v>507</v>
      </c>
      <c r="F16" s="8" t="s">
        <v>479</v>
      </c>
      <c r="G16" s="8" t="s">
        <v>369</v>
      </c>
      <c r="H16" s="8" t="s">
        <v>481</v>
      </c>
      <c r="I16" s="8" t="s">
        <v>527</v>
      </c>
      <c r="J16" s="8" t="s">
        <v>252</v>
      </c>
      <c r="K16" s="8" t="s">
        <v>537</v>
      </c>
      <c r="L16" s="8" t="s">
        <v>393</v>
      </c>
      <c r="M16" s="8" t="s">
        <v>484</v>
      </c>
      <c r="N16" s="8" t="s">
        <v>534</v>
      </c>
      <c r="O16" s="8"/>
    </row>
    <row r="17" customFormat="false" ht="15" hidden="false" customHeight="true" outlineLevel="0" collapsed="false">
      <c r="A17" s="8" t="s">
        <v>255</v>
      </c>
      <c r="B17" s="8" t="s">
        <v>538</v>
      </c>
      <c r="C17" s="8" t="s">
        <v>539</v>
      </c>
      <c r="D17" s="8" t="s">
        <v>477</v>
      </c>
      <c r="E17" s="8" t="s">
        <v>478</v>
      </c>
      <c r="F17" s="8" t="s">
        <v>479</v>
      </c>
      <c r="G17" s="8" t="s">
        <v>480</v>
      </c>
      <c r="H17" s="8" t="s">
        <v>540</v>
      </c>
      <c r="I17" s="8" t="s">
        <v>541</v>
      </c>
      <c r="J17" s="8" t="n">
        <v>3</v>
      </c>
      <c r="K17" s="8" t="s">
        <v>497</v>
      </c>
      <c r="L17" s="8" t="s">
        <v>393</v>
      </c>
      <c r="M17" s="8" t="s">
        <v>484</v>
      </c>
      <c r="N17" s="8" t="s">
        <v>542</v>
      </c>
      <c r="O17" s="8" t="s">
        <v>543</v>
      </c>
    </row>
    <row r="18" customFormat="false" ht="15" hidden="false" customHeight="true" outlineLevel="0" collapsed="false">
      <c r="A18" s="8" t="s">
        <v>255</v>
      </c>
      <c r="B18" s="8" t="s">
        <v>544</v>
      </c>
      <c r="C18" s="8" t="s">
        <v>545</v>
      </c>
      <c r="D18" s="8" t="s">
        <v>477</v>
      </c>
      <c r="E18" s="8" t="s">
        <v>478</v>
      </c>
      <c r="F18" s="8" t="s">
        <v>479</v>
      </c>
      <c r="G18" s="8" t="s">
        <v>480</v>
      </c>
      <c r="H18" s="8" t="s">
        <v>481</v>
      </c>
      <c r="I18" s="8" t="s">
        <v>546</v>
      </c>
      <c r="J18" s="8" t="s">
        <v>496</v>
      </c>
      <c r="K18" s="8" t="s">
        <v>497</v>
      </c>
      <c r="L18" s="8" t="s">
        <v>393</v>
      </c>
      <c r="M18" s="8" t="s">
        <v>484</v>
      </c>
      <c r="N18" s="8" t="s">
        <v>498</v>
      </c>
      <c r="O18" s="8"/>
    </row>
    <row r="19" customFormat="false" ht="23.25" hidden="false" customHeight="true" outlineLevel="0" collapsed="false">
      <c r="A19" s="8" t="s">
        <v>255</v>
      </c>
      <c r="B19" s="8" t="s">
        <v>547</v>
      </c>
      <c r="C19" s="8" t="s">
        <v>548</v>
      </c>
      <c r="D19" s="8" t="s">
        <v>549</v>
      </c>
      <c r="E19" s="8" t="s">
        <v>488</v>
      </c>
      <c r="F19" s="8"/>
      <c r="G19" s="8"/>
      <c r="H19" s="8" t="s">
        <v>481</v>
      </c>
      <c r="I19" s="8" t="s">
        <v>550</v>
      </c>
      <c r="J19" s="8" t="s">
        <v>257</v>
      </c>
      <c r="K19" s="8"/>
      <c r="L19" s="8"/>
      <c r="M19" s="8" t="s">
        <v>484</v>
      </c>
      <c r="N19" s="8" t="s">
        <v>551</v>
      </c>
      <c r="O19" s="8"/>
    </row>
    <row r="20" customFormat="false" ht="15" hidden="false" customHeight="true" outlineLevel="0" collapsed="false">
      <c r="A20" s="8" t="s">
        <v>255</v>
      </c>
      <c r="B20" s="8" t="s">
        <v>552</v>
      </c>
      <c r="C20" s="8" t="s">
        <v>553</v>
      </c>
      <c r="D20" s="8" t="s">
        <v>549</v>
      </c>
      <c r="E20" s="8" t="s">
        <v>507</v>
      </c>
      <c r="F20" s="8"/>
      <c r="G20" s="8"/>
      <c r="H20" s="8" t="s">
        <v>481</v>
      </c>
      <c r="I20" s="8" t="s">
        <v>550</v>
      </c>
      <c r="J20" s="8" t="s">
        <v>496</v>
      </c>
      <c r="K20" s="8"/>
      <c r="L20" s="8"/>
      <c r="M20" s="8" t="s">
        <v>484</v>
      </c>
      <c r="N20" s="8" t="s">
        <v>554</v>
      </c>
      <c r="O20" s="8"/>
    </row>
    <row r="21" customFormat="false" ht="15" hidden="false" customHeight="true" outlineLevel="0" collapsed="false">
      <c r="A21" s="8" t="s">
        <v>255</v>
      </c>
      <c r="B21" s="8" t="s">
        <v>555</v>
      </c>
      <c r="C21" s="8" t="s">
        <v>556</v>
      </c>
      <c r="D21" s="8" t="s">
        <v>549</v>
      </c>
      <c r="E21" s="8" t="s">
        <v>478</v>
      </c>
      <c r="F21" s="8"/>
      <c r="G21" s="8"/>
      <c r="H21" s="8" t="s">
        <v>481</v>
      </c>
      <c r="I21" s="8" t="s">
        <v>550</v>
      </c>
      <c r="J21" s="8" t="s">
        <v>496</v>
      </c>
      <c r="K21" s="8"/>
      <c r="L21" s="8"/>
      <c r="M21" s="8" t="s">
        <v>484</v>
      </c>
      <c r="N21" s="8" t="s">
        <v>557</v>
      </c>
      <c r="O21" s="8"/>
    </row>
    <row r="22" customFormat="false" ht="23.25" hidden="false" customHeight="true" outlineLevel="0" collapsed="false">
      <c r="A22" s="8" t="s">
        <v>255</v>
      </c>
      <c r="B22" s="8" t="s">
        <v>558</v>
      </c>
      <c r="C22" s="8" t="s">
        <v>559</v>
      </c>
      <c r="D22" s="8" t="s">
        <v>549</v>
      </c>
      <c r="E22" s="8" t="s">
        <v>478</v>
      </c>
      <c r="F22" s="8"/>
      <c r="G22" s="8"/>
      <c r="H22" s="8" t="s">
        <v>481</v>
      </c>
      <c r="I22" s="8" t="s">
        <v>550</v>
      </c>
      <c r="J22" s="8" t="s">
        <v>496</v>
      </c>
      <c r="K22" s="8"/>
      <c r="L22" s="8"/>
      <c r="M22" s="8" t="s">
        <v>560</v>
      </c>
      <c r="N22" s="8" t="s">
        <v>561</v>
      </c>
      <c r="O22" s="8"/>
    </row>
    <row r="23" customFormat="false" ht="23.25" hidden="false" customHeight="true" outlineLevel="0" collapsed="false">
      <c r="A23" s="8" t="s">
        <v>255</v>
      </c>
      <c r="B23" s="8" t="s">
        <v>562</v>
      </c>
      <c r="C23" s="8" t="s">
        <v>563</v>
      </c>
      <c r="D23" s="8" t="s">
        <v>549</v>
      </c>
      <c r="E23" s="8" t="s">
        <v>507</v>
      </c>
      <c r="F23" s="8"/>
      <c r="G23" s="8"/>
      <c r="H23" s="8" t="s">
        <v>481</v>
      </c>
      <c r="I23" s="8" t="s">
        <v>522</v>
      </c>
      <c r="J23" s="8" t="s">
        <v>257</v>
      </c>
      <c r="K23" s="8"/>
      <c r="L23" s="8"/>
      <c r="M23" s="8" t="s">
        <v>560</v>
      </c>
      <c r="N23" s="8" t="s">
        <v>564</v>
      </c>
      <c r="O23" s="8"/>
    </row>
    <row r="24" customFormat="false" ht="15" hidden="false" customHeight="true" outlineLevel="0" collapsed="false">
      <c r="A24" s="8" t="s">
        <v>255</v>
      </c>
      <c r="B24" s="8" t="s">
        <v>565</v>
      </c>
      <c r="C24" s="8" t="s">
        <v>566</v>
      </c>
      <c r="D24" s="8" t="s">
        <v>549</v>
      </c>
      <c r="E24" s="8" t="s">
        <v>488</v>
      </c>
      <c r="F24" s="8"/>
      <c r="G24" s="8"/>
      <c r="H24" s="8" t="s">
        <v>481</v>
      </c>
      <c r="I24" s="8" t="s">
        <v>522</v>
      </c>
      <c r="J24" s="8" t="s">
        <v>257</v>
      </c>
      <c r="K24" s="8"/>
      <c r="L24" s="8"/>
      <c r="M24" s="8" t="s">
        <v>484</v>
      </c>
      <c r="N24" s="8" t="s">
        <v>567</v>
      </c>
      <c r="O24" s="8"/>
    </row>
    <row r="25" customFormat="false" ht="15" hidden="false" customHeight="true" outlineLevel="0" collapsed="false">
      <c r="A25" s="8" t="s">
        <v>255</v>
      </c>
      <c r="B25" s="8" t="s">
        <v>568</v>
      </c>
      <c r="C25" s="8" t="s">
        <v>569</v>
      </c>
      <c r="D25" s="8" t="s">
        <v>549</v>
      </c>
      <c r="E25" s="8" t="s">
        <v>488</v>
      </c>
      <c r="F25" s="8"/>
      <c r="G25" s="8"/>
      <c r="H25" s="8" t="s">
        <v>570</v>
      </c>
      <c r="I25" s="8" t="s">
        <v>550</v>
      </c>
      <c r="J25" s="8" t="s">
        <v>496</v>
      </c>
      <c r="K25" s="8"/>
      <c r="L25" s="8"/>
      <c r="M25" s="8" t="s">
        <v>484</v>
      </c>
      <c r="N25" s="8" t="s">
        <v>571</v>
      </c>
      <c r="O25" s="8"/>
    </row>
    <row r="26" customFormat="false" ht="15" hidden="false" customHeight="true" outlineLevel="0" collapsed="false">
      <c r="A26" s="8" t="s">
        <v>255</v>
      </c>
      <c r="B26" s="8" t="s">
        <v>572</v>
      </c>
      <c r="C26" s="8" t="s">
        <v>573</v>
      </c>
      <c r="D26" s="8" t="s">
        <v>549</v>
      </c>
      <c r="E26" s="8" t="s">
        <v>488</v>
      </c>
      <c r="F26" s="8"/>
      <c r="G26" s="8"/>
      <c r="H26" s="8" t="s">
        <v>481</v>
      </c>
      <c r="I26" s="8" t="s">
        <v>574</v>
      </c>
      <c r="J26" s="8" t="s">
        <v>261</v>
      </c>
      <c r="K26" s="8"/>
      <c r="L26" s="8"/>
      <c r="M26" s="8" t="s">
        <v>484</v>
      </c>
      <c r="N26" s="8" t="s">
        <v>575</v>
      </c>
      <c r="O26" s="8"/>
    </row>
    <row r="27" customFormat="false" ht="15" hidden="false" customHeight="true" outlineLevel="0" collapsed="false">
      <c r="A27" s="8" t="s">
        <v>255</v>
      </c>
      <c r="B27" s="8" t="s">
        <v>576</v>
      </c>
      <c r="C27" s="8" t="s">
        <v>577</v>
      </c>
      <c r="D27" s="8" t="s">
        <v>549</v>
      </c>
      <c r="E27" s="8" t="s">
        <v>488</v>
      </c>
      <c r="F27" s="8"/>
      <c r="G27" s="8"/>
      <c r="H27" s="8" t="s">
        <v>481</v>
      </c>
      <c r="I27" s="8" t="s">
        <v>574</v>
      </c>
      <c r="J27" s="8" t="s">
        <v>496</v>
      </c>
      <c r="K27" s="8"/>
      <c r="L27" s="8"/>
      <c r="M27" s="8" t="s">
        <v>484</v>
      </c>
      <c r="N27" s="8" t="s">
        <v>578</v>
      </c>
      <c r="O27" s="8"/>
    </row>
    <row r="28" customFormat="false" ht="15" hidden="false" customHeight="true" outlineLevel="0" collapsed="false">
      <c r="A28" s="8" t="s">
        <v>255</v>
      </c>
      <c r="B28" s="8" t="s">
        <v>579</v>
      </c>
      <c r="C28" s="8" t="s">
        <v>580</v>
      </c>
      <c r="D28" s="8" t="s">
        <v>549</v>
      </c>
      <c r="E28" s="8" t="s">
        <v>488</v>
      </c>
      <c r="F28" s="8"/>
      <c r="G28" s="8"/>
      <c r="H28" s="8" t="s">
        <v>481</v>
      </c>
      <c r="I28" s="8" t="s">
        <v>581</v>
      </c>
      <c r="J28" s="8" t="s">
        <v>261</v>
      </c>
      <c r="K28" s="8"/>
      <c r="L28" s="8"/>
      <c r="M28" s="8" t="s">
        <v>484</v>
      </c>
      <c r="N28" s="8" t="s">
        <v>582</v>
      </c>
      <c r="O28" s="8"/>
    </row>
    <row r="29" customFormat="false" ht="15" hidden="false" customHeight="true" outlineLevel="0" collapsed="false">
      <c r="A29" s="8" t="s">
        <v>255</v>
      </c>
      <c r="B29" s="8" t="s">
        <v>583</v>
      </c>
      <c r="C29" s="8" t="s">
        <v>584</v>
      </c>
      <c r="D29" s="8" t="s">
        <v>549</v>
      </c>
      <c r="E29" s="8" t="s">
        <v>488</v>
      </c>
      <c r="F29" s="8"/>
      <c r="G29" s="8"/>
      <c r="H29" s="8" t="s">
        <v>481</v>
      </c>
      <c r="I29" s="8" t="s">
        <v>541</v>
      </c>
      <c r="J29" s="8" t="s">
        <v>496</v>
      </c>
      <c r="K29" s="8"/>
      <c r="L29" s="8"/>
      <c r="M29" s="8" t="s">
        <v>484</v>
      </c>
      <c r="N29" s="8" t="s">
        <v>578</v>
      </c>
      <c r="O29" s="8"/>
    </row>
    <row r="30" customFormat="false" ht="15" hidden="false" customHeight="true" outlineLevel="0" collapsed="false">
      <c r="A30" s="8" t="s">
        <v>255</v>
      </c>
      <c r="B30" s="8" t="s">
        <v>585</v>
      </c>
      <c r="C30" s="8" t="s">
        <v>586</v>
      </c>
      <c r="D30" s="8" t="s">
        <v>549</v>
      </c>
      <c r="E30" s="8" t="s">
        <v>488</v>
      </c>
      <c r="F30" s="8"/>
      <c r="G30" s="8"/>
      <c r="H30" s="8" t="s">
        <v>481</v>
      </c>
      <c r="I30" s="8" t="s">
        <v>522</v>
      </c>
      <c r="J30" s="8" t="s">
        <v>261</v>
      </c>
      <c r="K30" s="8"/>
      <c r="L30" s="8"/>
      <c r="M30" s="8" t="s">
        <v>484</v>
      </c>
      <c r="N30" s="8" t="s">
        <v>587</v>
      </c>
      <c r="O30" s="8"/>
    </row>
    <row r="31" customFormat="false" ht="15" hidden="false" customHeight="true" outlineLevel="0" collapsed="false">
      <c r="A31" s="8" t="s">
        <v>255</v>
      </c>
      <c r="B31" s="8" t="s">
        <v>588</v>
      </c>
      <c r="C31" s="8" t="s">
        <v>589</v>
      </c>
      <c r="D31" s="8" t="s">
        <v>549</v>
      </c>
      <c r="E31" s="8" t="s">
        <v>590</v>
      </c>
      <c r="F31" s="8"/>
      <c r="G31" s="8"/>
      <c r="H31" s="8" t="s">
        <v>481</v>
      </c>
      <c r="I31" s="8" t="s">
        <v>574</v>
      </c>
      <c r="J31" s="8" t="s">
        <v>261</v>
      </c>
      <c r="K31" s="8"/>
      <c r="L31" s="8"/>
      <c r="M31" s="8" t="s">
        <v>484</v>
      </c>
      <c r="N31" s="8" t="s">
        <v>591</v>
      </c>
      <c r="O31" s="8"/>
    </row>
    <row r="32" customFormat="false" ht="15" hidden="false" customHeight="true" outlineLevel="0" collapsed="false">
      <c r="A32" s="8" t="s">
        <v>260</v>
      </c>
      <c r="B32" s="8" t="s">
        <v>475</v>
      </c>
      <c r="C32" s="8" t="s">
        <v>476</v>
      </c>
      <c r="D32" s="8" t="s">
        <v>477</v>
      </c>
      <c r="E32" s="8" t="s">
        <v>478</v>
      </c>
      <c r="F32" s="8" t="s">
        <v>592</v>
      </c>
      <c r="G32" s="8" t="s">
        <v>480</v>
      </c>
      <c r="H32" s="8" t="s">
        <v>481</v>
      </c>
      <c r="I32" s="8" t="s">
        <v>482</v>
      </c>
      <c r="J32" s="8" t="s">
        <v>242</v>
      </c>
      <c r="K32" s="8" t="s">
        <v>483</v>
      </c>
      <c r="L32" s="8" t="s">
        <v>255</v>
      </c>
      <c r="M32" s="8" t="s">
        <v>484</v>
      </c>
      <c r="N32" s="8" t="s">
        <v>485</v>
      </c>
      <c r="O32" s="8"/>
    </row>
    <row r="33" customFormat="false" ht="15" hidden="false" customHeight="true" outlineLevel="0" collapsed="false">
      <c r="A33" s="8" t="s">
        <v>260</v>
      </c>
      <c r="B33" s="8" t="s">
        <v>486</v>
      </c>
      <c r="C33" s="8" t="s">
        <v>487</v>
      </c>
      <c r="D33" s="8" t="s">
        <v>477</v>
      </c>
      <c r="E33" s="8" t="s">
        <v>488</v>
      </c>
      <c r="F33" s="8" t="s">
        <v>489</v>
      </c>
      <c r="G33" s="8" t="s">
        <v>369</v>
      </c>
      <c r="H33" s="8" t="s">
        <v>481</v>
      </c>
      <c r="I33" s="8" t="s">
        <v>482</v>
      </c>
      <c r="J33" s="8" t="s">
        <v>242</v>
      </c>
      <c r="K33" s="8" t="s">
        <v>483</v>
      </c>
      <c r="L33" s="8" t="s">
        <v>255</v>
      </c>
      <c r="M33" s="8" t="s">
        <v>484</v>
      </c>
      <c r="N33" s="8" t="s">
        <v>490</v>
      </c>
      <c r="O33" s="8"/>
    </row>
    <row r="34" customFormat="false" ht="15" hidden="false" customHeight="true" outlineLevel="0" collapsed="false">
      <c r="A34" s="8" t="s">
        <v>260</v>
      </c>
      <c r="B34" s="8" t="s">
        <v>491</v>
      </c>
      <c r="C34" s="8" t="s">
        <v>492</v>
      </c>
      <c r="D34" s="8" t="s">
        <v>477</v>
      </c>
      <c r="E34" s="8" t="s">
        <v>488</v>
      </c>
      <c r="F34" s="8" t="s">
        <v>489</v>
      </c>
      <c r="G34" s="8" t="s">
        <v>369</v>
      </c>
      <c r="H34" s="8" t="s">
        <v>481</v>
      </c>
      <c r="I34" s="8" t="s">
        <v>482</v>
      </c>
      <c r="J34" s="8" t="s">
        <v>242</v>
      </c>
      <c r="K34" s="8" t="s">
        <v>483</v>
      </c>
      <c r="L34" s="8" t="s">
        <v>255</v>
      </c>
      <c r="M34" s="8" t="s">
        <v>484</v>
      </c>
      <c r="N34" s="8" t="s">
        <v>493</v>
      </c>
      <c r="O34" s="8"/>
    </row>
    <row r="35" customFormat="false" ht="15" hidden="false" customHeight="true" outlineLevel="0" collapsed="false">
      <c r="A35" s="8" t="s">
        <v>260</v>
      </c>
      <c r="B35" s="8" t="s">
        <v>494</v>
      </c>
      <c r="C35" s="8" t="s">
        <v>495</v>
      </c>
      <c r="D35" s="8" t="s">
        <v>477</v>
      </c>
      <c r="E35" s="8" t="s">
        <v>478</v>
      </c>
      <c r="F35" s="8" t="s">
        <v>592</v>
      </c>
      <c r="G35" s="8" t="s">
        <v>480</v>
      </c>
      <c r="H35" s="8" t="s">
        <v>481</v>
      </c>
      <c r="I35" s="8" t="s">
        <v>482</v>
      </c>
      <c r="J35" s="8" t="s">
        <v>496</v>
      </c>
      <c r="K35" s="8" t="s">
        <v>497</v>
      </c>
      <c r="L35" s="8" t="s">
        <v>255</v>
      </c>
      <c r="M35" s="8" t="s">
        <v>484</v>
      </c>
      <c r="N35" s="8" t="s">
        <v>498</v>
      </c>
      <c r="O35" s="8"/>
    </row>
    <row r="36" customFormat="false" ht="15" hidden="false" customHeight="true" outlineLevel="0" collapsed="false">
      <c r="A36" s="8" t="s">
        <v>260</v>
      </c>
      <c r="B36" s="8" t="s">
        <v>499</v>
      </c>
      <c r="C36" s="8" t="s">
        <v>500</v>
      </c>
      <c r="D36" s="8" t="s">
        <v>477</v>
      </c>
      <c r="E36" s="8" t="s">
        <v>478</v>
      </c>
      <c r="F36" s="8" t="s">
        <v>592</v>
      </c>
      <c r="G36" s="8" t="s">
        <v>480</v>
      </c>
      <c r="H36" s="8" t="s">
        <v>481</v>
      </c>
      <c r="I36" s="8" t="s">
        <v>482</v>
      </c>
      <c r="J36" s="8" t="s">
        <v>242</v>
      </c>
      <c r="K36" s="8" t="s">
        <v>497</v>
      </c>
      <c r="L36" s="8" t="s">
        <v>255</v>
      </c>
      <c r="M36" s="8" t="s">
        <v>484</v>
      </c>
      <c r="N36" s="8" t="s">
        <v>501</v>
      </c>
      <c r="O36" s="8"/>
    </row>
    <row r="37" customFormat="false" ht="23.25" hidden="false" customHeight="true" outlineLevel="0" collapsed="false">
      <c r="A37" s="8" t="s">
        <v>260</v>
      </c>
      <c r="B37" s="8" t="s">
        <v>502</v>
      </c>
      <c r="C37" s="8" t="s">
        <v>503</v>
      </c>
      <c r="D37" s="8" t="s">
        <v>477</v>
      </c>
      <c r="E37" s="8" t="s">
        <v>488</v>
      </c>
      <c r="F37" s="8" t="s">
        <v>489</v>
      </c>
      <c r="G37" s="8" t="s">
        <v>369</v>
      </c>
      <c r="H37" s="8" t="s">
        <v>481</v>
      </c>
      <c r="I37" s="8" t="s">
        <v>482</v>
      </c>
      <c r="J37" s="8" t="s">
        <v>242</v>
      </c>
      <c r="K37" s="8" t="s">
        <v>483</v>
      </c>
      <c r="L37" s="8" t="s">
        <v>255</v>
      </c>
      <c r="M37" s="8" t="s">
        <v>484</v>
      </c>
      <c r="N37" s="8" t="s">
        <v>504</v>
      </c>
      <c r="O37" s="8"/>
    </row>
    <row r="38" customFormat="false" ht="15" hidden="false" customHeight="true" outlineLevel="0" collapsed="false">
      <c r="A38" s="8" t="s">
        <v>260</v>
      </c>
      <c r="B38" s="8" t="s">
        <v>505</v>
      </c>
      <c r="C38" s="8" t="s">
        <v>506</v>
      </c>
      <c r="D38" s="8" t="s">
        <v>477</v>
      </c>
      <c r="E38" s="8" t="s">
        <v>507</v>
      </c>
      <c r="F38" s="8" t="s">
        <v>592</v>
      </c>
      <c r="G38" s="8" t="s">
        <v>369</v>
      </c>
      <c r="H38" s="8" t="s">
        <v>481</v>
      </c>
      <c r="I38" s="8" t="s">
        <v>508</v>
      </c>
      <c r="J38" s="8" t="s">
        <v>242</v>
      </c>
      <c r="K38" s="8" t="s">
        <v>497</v>
      </c>
      <c r="L38" s="8" t="s">
        <v>255</v>
      </c>
      <c r="M38" s="8" t="s">
        <v>484</v>
      </c>
      <c r="N38" s="8" t="s">
        <v>509</v>
      </c>
      <c r="O38" s="8"/>
    </row>
    <row r="39" customFormat="false" ht="15" hidden="false" customHeight="true" outlineLevel="0" collapsed="false">
      <c r="A39" s="8" t="s">
        <v>260</v>
      </c>
      <c r="B39" s="8" t="s">
        <v>510</v>
      </c>
      <c r="C39" s="8" t="s">
        <v>511</v>
      </c>
      <c r="D39" s="8" t="s">
        <v>477</v>
      </c>
      <c r="E39" s="8" t="s">
        <v>507</v>
      </c>
      <c r="F39" s="8" t="s">
        <v>592</v>
      </c>
      <c r="G39" s="8" t="s">
        <v>369</v>
      </c>
      <c r="H39" s="8" t="s">
        <v>481</v>
      </c>
      <c r="I39" s="8" t="s">
        <v>512</v>
      </c>
      <c r="J39" s="8" t="s">
        <v>242</v>
      </c>
      <c r="K39" s="8" t="s">
        <v>497</v>
      </c>
      <c r="L39" s="8" t="s">
        <v>255</v>
      </c>
      <c r="M39" s="8" t="s">
        <v>484</v>
      </c>
      <c r="N39" s="8" t="s">
        <v>513</v>
      </c>
      <c r="O39" s="8"/>
    </row>
    <row r="40" customFormat="false" ht="15" hidden="false" customHeight="true" outlineLevel="0" collapsed="false">
      <c r="A40" s="8" t="s">
        <v>260</v>
      </c>
      <c r="B40" s="8" t="s">
        <v>514</v>
      </c>
      <c r="C40" s="8" t="s">
        <v>515</v>
      </c>
      <c r="D40" s="8" t="s">
        <v>477</v>
      </c>
      <c r="E40" s="8" t="s">
        <v>507</v>
      </c>
      <c r="F40" s="8" t="s">
        <v>592</v>
      </c>
      <c r="G40" s="8" t="s">
        <v>369</v>
      </c>
      <c r="H40" s="8" t="s">
        <v>481</v>
      </c>
      <c r="I40" s="8" t="s">
        <v>508</v>
      </c>
      <c r="J40" s="8" t="s">
        <v>242</v>
      </c>
      <c r="K40" s="8" t="s">
        <v>497</v>
      </c>
      <c r="L40" s="8" t="s">
        <v>255</v>
      </c>
      <c r="M40" s="8" t="s">
        <v>484</v>
      </c>
      <c r="N40" s="8" t="s">
        <v>516</v>
      </c>
      <c r="O40" s="8"/>
    </row>
    <row r="41" customFormat="false" ht="23.25" hidden="false" customHeight="true" outlineLevel="0" collapsed="false">
      <c r="A41" s="8" t="s">
        <v>260</v>
      </c>
      <c r="B41" s="8" t="s">
        <v>517</v>
      </c>
      <c r="C41" s="8" t="s">
        <v>518</v>
      </c>
      <c r="D41" s="8" t="s">
        <v>477</v>
      </c>
      <c r="E41" s="8" t="s">
        <v>507</v>
      </c>
      <c r="F41" s="8" t="s">
        <v>592</v>
      </c>
      <c r="G41" s="8" t="s">
        <v>369</v>
      </c>
      <c r="H41" s="8" t="s">
        <v>481</v>
      </c>
      <c r="I41" s="8" t="s">
        <v>508</v>
      </c>
      <c r="J41" s="8" t="s">
        <v>242</v>
      </c>
      <c r="K41" s="8" t="s">
        <v>497</v>
      </c>
      <c r="L41" s="8" t="s">
        <v>255</v>
      </c>
      <c r="M41" s="8" t="s">
        <v>484</v>
      </c>
      <c r="N41" s="8" t="s">
        <v>519</v>
      </c>
      <c r="O41" s="8"/>
    </row>
    <row r="42" customFormat="false" ht="34.5" hidden="false" customHeight="true" outlineLevel="0" collapsed="false">
      <c r="A42" s="8" t="s">
        <v>260</v>
      </c>
      <c r="B42" s="8" t="s">
        <v>520</v>
      </c>
      <c r="C42" s="8" t="s">
        <v>521</v>
      </c>
      <c r="D42" s="8" t="s">
        <v>593</v>
      </c>
      <c r="E42" s="8" t="s">
        <v>507</v>
      </c>
      <c r="F42" s="8"/>
      <c r="G42" s="8"/>
      <c r="H42" s="8" t="s">
        <v>481</v>
      </c>
      <c r="I42" s="8" t="s">
        <v>522</v>
      </c>
      <c r="J42" s="8" t="s">
        <v>252</v>
      </c>
      <c r="K42" s="8"/>
      <c r="L42" s="8"/>
      <c r="M42" s="8" t="s">
        <v>484</v>
      </c>
      <c r="N42" s="8" t="s">
        <v>524</v>
      </c>
      <c r="O42" s="8" t="s">
        <v>594</v>
      </c>
    </row>
    <row r="43" customFormat="false" ht="15" hidden="false" customHeight="true" outlineLevel="0" collapsed="false">
      <c r="A43" s="8" t="s">
        <v>260</v>
      </c>
      <c r="B43" s="8" t="s">
        <v>525</v>
      </c>
      <c r="C43" s="8" t="s">
        <v>526</v>
      </c>
      <c r="D43" s="8" t="s">
        <v>477</v>
      </c>
      <c r="E43" s="8" t="s">
        <v>478</v>
      </c>
      <c r="F43" s="8" t="s">
        <v>592</v>
      </c>
      <c r="G43" s="8" t="s">
        <v>480</v>
      </c>
      <c r="H43" s="8" t="s">
        <v>481</v>
      </c>
      <c r="I43" s="8" t="s">
        <v>527</v>
      </c>
      <c r="J43" s="8" t="s">
        <v>242</v>
      </c>
      <c r="K43" s="8" t="s">
        <v>497</v>
      </c>
      <c r="L43" s="8" t="s">
        <v>255</v>
      </c>
      <c r="M43" s="8" t="s">
        <v>484</v>
      </c>
      <c r="N43" s="8" t="s">
        <v>528</v>
      </c>
      <c r="O43" s="8"/>
    </row>
    <row r="44" customFormat="false" ht="15" hidden="false" customHeight="true" outlineLevel="0" collapsed="false">
      <c r="A44" s="8" t="s">
        <v>260</v>
      </c>
      <c r="B44" s="8" t="s">
        <v>529</v>
      </c>
      <c r="C44" s="8" t="s">
        <v>530</v>
      </c>
      <c r="D44" s="8" t="s">
        <v>477</v>
      </c>
      <c r="E44" s="8" t="s">
        <v>478</v>
      </c>
      <c r="F44" s="8" t="s">
        <v>592</v>
      </c>
      <c r="G44" s="8" t="s">
        <v>480</v>
      </c>
      <c r="H44" s="8" t="s">
        <v>481</v>
      </c>
      <c r="I44" s="8" t="s">
        <v>527</v>
      </c>
      <c r="J44" s="8" t="s">
        <v>242</v>
      </c>
      <c r="K44" s="8" t="s">
        <v>497</v>
      </c>
      <c r="L44" s="8" t="s">
        <v>255</v>
      </c>
      <c r="M44" s="8" t="s">
        <v>484</v>
      </c>
      <c r="N44" s="8" t="s">
        <v>528</v>
      </c>
      <c r="O44" s="8"/>
    </row>
    <row r="45" customFormat="false" ht="15" hidden="false" customHeight="true" outlineLevel="0" collapsed="false">
      <c r="A45" s="8" t="s">
        <v>260</v>
      </c>
      <c r="B45" s="8" t="s">
        <v>531</v>
      </c>
      <c r="C45" s="8" t="s">
        <v>532</v>
      </c>
      <c r="D45" s="8" t="s">
        <v>477</v>
      </c>
      <c r="E45" s="8" t="s">
        <v>478</v>
      </c>
      <c r="F45" s="8" t="s">
        <v>592</v>
      </c>
      <c r="G45" s="8" t="s">
        <v>480</v>
      </c>
      <c r="H45" s="8" t="s">
        <v>481</v>
      </c>
      <c r="I45" s="8" t="s">
        <v>527</v>
      </c>
      <c r="J45" s="8" t="s">
        <v>252</v>
      </c>
      <c r="K45" s="8" t="s">
        <v>533</v>
      </c>
      <c r="L45" s="8" t="s">
        <v>255</v>
      </c>
      <c r="M45" s="8" t="s">
        <v>484</v>
      </c>
      <c r="N45" s="8" t="s">
        <v>534</v>
      </c>
      <c r="O45" s="8"/>
    </row>
    <row r="46" customFormat="false" ht="15" hidden="false" customHeight="true" outlineLevel="0" collapsed="false">
      <c r="A46" s="8" t="s">
        <v>260</v>
      </c>
      <c r="B46" s="8" t="s">
        <v>535</v>
      </c>
      <c r="C46" s="8" t="s">
        <v>536</v>
      </c>
      <c r="D46" s="8" t="s">
        <v>477</v>
      </c>
      <c r="E46" s="8" t="s">
        <v>507</v>
      </c>
      <c r="F46" s="8" t="s">
        <v>592</v>
      </c>
      <c r="G46" s="8" t="s">
        <v>369</v>
      </c>
      <c r="H46" s="8" t="s">
        <v>481</v>
      </c>
      <c r="I46" s="8" t="s">
        <v>527</v>
      </c>
      <c r="J46" s="8" t="s">
        <v>252</v>
      </c>
      <c r="K46" s="8" t="s">
        <v>537</v>
      </c>
      <c r="L46" s="8" t="s">
        <v>255</v>
      </c>
      <c r="M46" s="8" t="s">
        <v>484</v>
      </c>
      <c r="N46" s="8" t="s">
        <v>534</v>
      </c>
      <c r="O46" s="8"/>
    </row>
    <row r="47" customFormat="false" ht="15" hidden="false" customHeight="true" outlineLevel="0" collapsed="false">
      <c r="A47" s="8" t="s">
        <v>260</v>
      </c>
      <c r="B47" s="8" t="s">
        <v>538</v>
      </c>
      <c r="C47" s="8" t="s">
        <v>539</v>
      </c>
      <c r="D47" s="8" t="s">
        <v>477</v>
      </c>
      <c r="E47" s="8" t="s">
        <v>478</v>
      </c>
      <c r="F47" s="8" t="s">
        <v>592</v>
      </c>
      <c r="G47" s="8" t="s">
        <v>480</v>
      </c>
      <c r="H47" s="8" t="s">
        <v>540</v>
      </c>
      <c r="I47" s="8" t="s">
        <v>541</v>
      </c>
      <c r="J47" s="8" t="n">
        <v>3</v>
      </c>
      <c r="K47" s="8" t="s">
        <v>497</v>
      </c>
      <c r="L47" s="8" t="s">
        <v>255</v>
      </c>
      <c r="M47" s="8" t="s">
        <v>484</v>
      </c>
      <c r="N47" s="8" t="s">
        <v>542</v>
      </c>
      <c r="O47" s="8" t="s">
        <v>543</v>
      </c>
    </row>
    <row r="48" customFormat="false" ht="15" hidden="false" customHeight="true" outlineLevel="0" collapsed="false">
      <c r="A48" s="8" t="s">
        <v>260</v>
      </c>
      <c r="B48" s="8" t="s">
        <v>544</v>
      </c>
      <c r="C48" s="8" t="s">
        <v>545</v>
      </c>
      <c r="D48" s="8" t="s">
        <v>477</v>
      </c>
      <c r="E48" s="8" t="s">
        <v>478</v>
      </c>
      <c r="F48" s="8" t="s">
        <v>592</v>
      </c>
      <c r="G48" s="8" t="s">
        <v>480</v>
      </c>
      <c r="H48" s="8" t="s">
        <v>481</v>
      </c>
      <c r="I48" s="8" t="s">
        <v>546</v>
      </c>
      <c r="J48" s="8" t="s">
        <v>496</v>
      </c>
      <c r="K48" s="8" t="s">
        <v>497</v>
      </c>
      <c r="L48" s="8" t="s">
        <v>255</v>
      </c>
      <c r="M48" s="8" t="s">
        <v>484</v>
      </c>
      <c r="N48" s="8" t="s">
        <v>498</v>
      </c>
      <c r="O48" s="8"/>
    </row>
    <row r="49" customFormat="false" ht="23.25" hidden="false" customHeight="true" outlineLevel="0" collapsed="false">
      <c r="A49" s="8" t="s">
        <v>260</v>
      </c>
      <c r="B49" s="8" t="s">
        <v>547</v>
      </c>
      <c r="C49" s="8" t="s">
        <v>548</v>
      </c>
      <c r="D49" s="8" t="s">
        <v>477</v>
      </c>
      <c r="E49" s="8" t="s">
        <v>488</v>
      </c>
      <c r="F49" s="8" t="s">
        <v>489</v>
      </c>
      <c r="G49" s="8" t="s">
        <v>369</v>
      </c>
      <c r="H49" s="8" t="s">
        <v>481</v>
      </c>
      <c r="I49" s="8" t="s">
        <v>550</v>
      </c>
      <c r="J49" s="8" t="s">
        <v>257</v>
      </c>
      <c r="K49" s="8" t="s">
        <v>523</v>
      </c>
      <c r="L49" s="8" t="s">
        <v>393</v>
      </c>
      <c r="M49" s="8" t="s">
        <v>484</v>
      </c>
      <c r="N49" s="8" t="s">
        <v>551</v>
      </c>
      <c r="O49" s="8"/>
    </row>
    <row r="50" customFormat="false" ht="15" hidden="false" customHeight="true" outlineLevel="0" collapsed="false">
      <c r="A50" s="8" t="s">
        <v>260</v>
      </c>
      <c r="B50" s="8" t="s">
        <v>552</v>
      </c>
      <c r="C50" s="8" t="s">
        <v>553</v>
      </c>
      <c r="D50" s="8" t="s">
        <v>477</v>
      </c>
      <c r="E50" s="8" t="s">
        <v>507</v>
      </c>
      <c r="F50" s="8" t="s">
        <v>592</v>
      </c>
      <c r="G50" s="8" t="s">
        <v>369</v>
      </c>
      <c r="H50" s="8" t="s">
        <v>481</v>
      </c>
      <c r="I50" s="8" t="s">
        <v>550</v>
      </c>
      <c r="J50" s="8" t="s">
        <v>496</v>
      </c>
      <c r="K50" s="8" t="s">
        <v>595</v>
      </c>
      <c r="L50" s="8" t="s">
        <v>393</v>
      </c>
      <c r="M50" s="8" t="s">
        <v>484</v>
      </c>
      <c r="N50" s="8" t="s">
        <v>554</v>
      </c>
      <c r="O50" s="8"/>
    </row>
    <row r="51" customFormat="false" ht="15" hidden="false" customHeight="true" outlineLevel="0" collapsed="false">
      <c r="A51" s="8" t="s">
        <v>260</v>
      </c>
      <c r="B51" s="8" t="s">
        <v>555</v>
      </c>
      <c r="C51" s="8" t="s">
        <v>556</v>
      </c>
      <c r="D51" s="8" t="s">
        <v>477</v>
      </c>
      <c r="E51" s="8" t="s">
        <v>478</v>
      </c>
      <c r="F51" s="8" t="s">
        <v>592</v>
      </c>
      <c r="G51" s="8" t="s">
        <v>480</v>
      </c>
      <c r="H51" s="8" t="s">
        <v>481</v>
      </c>
      <c r="I51" s="8" t="s">
        <v>550</v>
      </c>
      <c r="J51" s="8" t="s">
        <v>496</v>
      </c>
      <c r="K51" s="8" t="s">
        <v>595</v>
      </c>
      <c r="L51" s="8" t="s">
        <v>393</v>
      </c>
      <c r="M51" s="8" t="s">
        <v>484</v>
      </c>
      <c r="N51" s="8" t="s">
        <v>557</v>
      </c>
      <c r="O51" s="8"/>
    </row>
    <row r="52" customFormat="false" ht="23.25" hidden="false" customHeight="true" outlineLevel="0" collapsed="false">
      <c r="A52" s="8" t="s">
        <v>260</v>
      </c>
      <c r="B52" s="8" t="s">
        <v>558</v>
      </c>
      <c r="C52" s="8" t="s">
        <v>559</v>
      </c>
      <c r="D52" s="8" t="s">
        <v>477</v>
      </c>
      <c r="E52" s="8" t="s">
        <v>478</v>
      </c>
      <c r="F52" s="8" t="s">
        <v>592</v>
      </c>
      <c r="G52" s="8" t="s">
        <v>480</v>
      </c>
      <c r="H52" s="8" t="s">
        <v>481</v>
      </c>
      <c r="I52" s="8" t="s">
        <v>550</v>
      </c>
      <c r="J52" s="8" t="s">
        <v>496</v>
      </c>
      <c r="K52" s="8" t="s">
        <v>497</v>
      </c>
      <c r="L52" s="8" t="s">
        <v>393</v>
      </c>
      <c r="M52" s="8" t="s">
        <v>560</v>
      </c>
      <c r="N52" s="8" t="s">
        <v>561</v>
      </c>
      <c r="O52" s="8"/>
    </row>
    <row r="53" customFormat="false" ht="23.25" hidden="false" customHeight="true" outlineLevel="0" collapsed="false">
      <c r="A53" s="8" t="s">
        <v>260</v>
      </c>
      <c r="B53" s="8" t="s">
        <v>562</v>
      </c>
      <c r="C53" s="8" t="s">
        <v>563</v>
      </c>
      <c r="D53" s="8" t="s">
        <v>477</v>
      </c>
      <c r="E53" s="8" t="s">
        <v>507</v>
      </c>
      <c r="F53" s="8" t="s">
        <v>592</v>
      </c>
      <c r="G53" s="8" t="s">
        <v>369</v>
      </c>
      <c r="H53" s="8" t="s">
        <v>481</v>
      </c>
      <c r="I53" s="8" t="s">
        <v>522</v>
      </c>
      <c r="J53" s="8" t="s">
        <v>257</v>
      </c>
      <c r="K53" s="8" t="s">
        <v>523</v>
      </c>
      <c r="L53" s="8" t="s">
        <v>393</v>
      </c>
      <c r="M53" s="8" t="s">
        <v>560</v>
      </c>
      <c r="N53" s="8" t="s">
        <v>564</v>
      </c>
      <c r="O53" s="8"/>
    </row>
    <row r="54" customFormat="false" ht="15" hidden="false" customHeight="true" outlineLevel="0" collapsed="false">
      <c r="A54" s="8" t="s">
        <v>260</v>
      </c>
      <c r="B54" s="8" t="s">
        <v>565</v>
      </c>
      <c r="C54" s="8" t="s">
        <v>566</v>
      </c>
      <c r="D54" s="8" t="s">
        <v>477</v>
      </c>
      <c r="E54" s="8" t="s">
        <v>488</v>
      </c>
      <c r="F54" s="8" t="s">
        <v>489</v>
      </c>
      <c r="G54" s="8" t="s">
        <v>369</v>
      </c>
      <c r="H54" s="8" t="s">
        <v>481</v>
      </c>
      <c r="I54" s="8" t="s">
        <v>522</v>
      </c>
      <c r="J54" s="8" t="s">
        <v>257</v>
      </c>
      <c r="K54" s="8" t="s">
        <v>523</v>
      </c>
      <c r="L54" s="8" t="s">
        <v>393</v>
      </c>
      <c r="M54" s="8" t="s">
        <v>484</v>
      </c>
      <c r="N54" s="8" t="s">
        <v>567</v>
      </c>
      <c r="O54" s="8"/>
    </row>
    <row r="55" customFormat="false" ht="15" hidden="false" customHeight="true" outlineLevel="0" collapsed="false">
      <c r="A55" s="8" t="s">
        <v>260</v>
      </c>
      <c r="B55" s="8" t="s">
        <v>568</v>
      </c>
      <c r="C55" s="8" t="s">
        <v>569</v>
      </c>
      <c r="D55" s="8" t="s">
        <v>477</v>
      </c>
      <c r="E55" s="8" t="s">
        <v>488</v>
      </c>
      <c r="F55" s="8" t="s">
        <v>489</v>
      </c>
      <c r="G55" s="8" t="s">
        <v>369</v>
      </c>
      <c r="H55" s="8" t="s">
        <v>570</v>
      </c>
      <c r="I55" s="8" t="s">
        <v>550</v>
      </c>
      <c r="J55" s="8" t="s">
        <v>496</v>
      </c>
      <c r="K55" s="8" t="s">
        <v>497</v>
      </c>
      <c r="L55" s="8" t="s">
        <v>393</v>
      </c>
      <c r="M55" s="8" t="s">
        <v>484</v>
      </c>
      <c r="N55" s="8" t="s">
        <v>571</v>
      </c>
      <c r="O55" s="8" t="s">
        <v>596</v>
      </c>
    </row>
    <row r="56" customFormat="false" ht="15" hidden="false" customHeight="true" outlineLevel="0" collapsed="false">
      <c r="A56" s="8" t="s">
        <v>260</v>
      </c>
      <c r="B56" s="8" t="s">
        <v>572</v>
      </c>
      <c r="C56" s="8" t="s">
        <v>573</v>
      </c>
      <c r="D56" s="8" t="s">
        <v>549</v>
      </c>
      <c r="E56" s="8" t="s">
        <v>488</v>
      </c>
      <c r="F56" s="8"/>
      <c r="G56" s="8"/>
      <c r="H56" s="8" t="s">
        <v>481</v>
      </c>
      <c r="I56" s="8" t="s">
        <v>574</v>
      </c>
      <c r="J56" s="8" t="s">
        <v>261</v>
      </c>
      <c r="K56" s="8"/>
      <c r="L56" s="8"/>
      <c r="M56" s="8" t="s">
        <v>484</v>
      </c>
      <c r="N56" s="8" t="s">
        <v>575</v>
      </c>
      <c r="O56" s="8"/>
    </row>
    <row r="57" customFormat="false" ht="15" hidden="false" customHeight="true" outlineLevel="0" collapsed="false">
      <c r="A57" s="8" t="s">
        <v>260</v>
      </c>
      <c r="B57" s="8" t="s">
        <v>576</v>
      </c>
      <c r="C57" s="8" t="s">
        <v>577</v>
      </c>
      <c r="D57" s="8" t="s">
        <v>549</v>
      </c>
      <c r="E57" s="8" t="s">
        <v>488</v>
      </c>
      <c r="F57" s="8"/>
      <c r="G57" s="8"/>
      <c r="H57" s="8" t="s">
        <v>481</v>
      </c>
      <c r="I57" s="8" t="s">
        <v>574</v>
      </c>
      <c r="J57" s="8" t="s">
        <v>496</v>
      </c>
      <c r="K57" s="8"/>
      <c r="L57" s="8"/>
      <c r="M57" s="8" t="s">
        <v>484</v>
      </c>
      <c r="N57" s="8" t="s">
        <v>578</v>
      </c>
      <c r="O57" s="8"/>
    </row>
    <row r="58" customFormat="false" ht="15" hidden="false" customHeight="true" outlineLevel="0" collapsed="false">
      <c r="A58" s="8" t="s">
        <v>260</v>
      </c>
      <c r="B58" s="8" t="s">
        <v>579</v>
      </c>
      <c r="C58" s="8" t="s">
        <v>580</v>
      </c>
      <c r="D58" s="8" t="s">
        <v>549</v>
      </c>
      <c r="E58" s="8" t="s">
        <v>488</v>
      </c>
      <c r="F58" s="8"/>
      <c r="G58" s="8"/>
      <c r="H58" s="8" t="s">
        <v>481</v>
      </c>
      <c r="I58" s="8" t="s">
        <v>581</v>
      </c>
      <c r="J58" s="8" t="s">
        <v>261</v>
      </c>
      <c r="K58" s="8"/>
      <c r="L58" s="8"/>
      <c r="M58" s="8" t="s">
        <v>484</v>
      </c>
      <c r="N58" s="8" t="s">
        <v>582</v>
      </c>
      <c r="O58" s="8"/>
    </row>
    <row r="59" customFormat="false" ht="15" hidden="false" customHeight="true" outlineLevel="0" collapsed="false">
      <c r="A59" s="8" t="s">
        <v>260</v>
      </c>
      <c r="B59" s="8" t="s">
        <v>583</v>
      </c>
      <c r="C59" s="8" t="s">
        <v>584</v>
      </c>
      <c r="D59" s="8" t="s">
        <v>549</v>
      </c>
      <c r="E59" s="8" t="s">
        <v>488</v>
      </c>
      <c r="F59" s="8"/>
      <c r="G59" s="8"/>
      <c r="H59" s="8" t="s">
        <v>481</v>
      </c>
      <c r="I59" s="8" t="s">
        <v>541</v>
      </c>
      <c r="J59" s="8" t="s">
        <v>496</v>
      </c>
      <c r="K59" s="8"/>
      <c r="L59" s="8"/>
      <c r="M59" s="8" t="s">
        <v>484</v>
      </c>
      <c r="N59" s="8" t="s">
        <v>578</v>
      </c>
      <c r="O59" s="8"/>
    </row>
    <row r="60" customFormat="false" ht="15" hidden="false" customHeight="true" outlineLevel="0" collapsed="false">
      <c r="A60" s="8" t="s">
        <v>260</v>
      </c>
      <c r="B60" s="8" t="s">
        <v>585</v>
      </c>
      <c r="C60" s="8" t="s">
        <v>586</v>
      </c>
      <c r="D60" s="8" t="s">
        <v>549</v>
      </c>
      <c r="E60" s="8" t="s">
        <v>488</v>
      </c>
      <c r="F60" s="8"/>
      <c r="G60" s="8"/>
      <c r="H60" s="8" t="s">
        <v>481</v>
      </c>
      <c r="I60" s="8" t="s">
        <v>522</v>
      </c>
      <c r="J60" s="8" t="s">
        <v>261</v>
      </c>
      <c r="K60" s="8"/>
      <c r="L60" s="8"/>
      <c r="M60" s="8" t="s">
        <v>484</v>
      </c>
      <c r="N60" s="8" t="s">
        <v>587</v>
      </c>
      <c r="O60" s="8"/>
    </row>
    <row r="61" customFormat="false" ht="15" hidden="false" customHeight="true" outlineLevel="0" collapsed="false">
      <c r="A61" s="8" t="s">
        <v>260</v>
      </c>
      <c r="B61" s="8" t="s">
        <v>588</v>
      </c>
      <c r="C61" s="8" t="s">
        <v>589</v>
      </c>
      <c r="D61" s="8" t="s">
        <v>549</v>
      </c>
      <c r="E61" s="8" t="s">
        <v>590</v>
      </c>
      <c r="F61" s="8"/>
      <c r="G61" s="8"/>
      <c r="H61" s="8" t="s">
        <v>481</v>
      </c>
      <c r="I61" s="8" t="s">
        <v>574</v>
      </c>
      <c r="J61" s="8" t="s">
        <v>261</v>
      </c>
      <c r="K61" s="8"/>
      <c r="L61" s="8"/>
      <c r="M61" s="8" t="s">
        <v>484</v>
      </c>
      <c r="N61" s="8" t="s">
        <v>591</v>
      </c>
      <c r="O61" s="8"/>
    </row>
    <row r="62" customFormat="false" ht="23.25" hidden="false" customHeight="true" outlineLevel="0" collapsed="false">
      <c r="A62" s="8" t="s">
        <v>263</v>
      </c>
      <c r="B62" s="8" t="s">
        <v>475</v>
      </c>
      <c r="C62" s="8" t="s">
        <v>476</v>
      </c>
      <c r="D62" s="8" t="s">
        <v>477</v>
      </c>
      <c r="E62" s="8" t="s">
        <v>478</v>
      </c>
      <c r="F62" s="8" t="s">
        <v>597</v>
      </c>
      <c r="G62" s="8" t="s">
        <v>480</v>
      </c>
      <c r="H62" s="8" t="s">
        <v>481</v>
      </c>
      <c r="I62" s="8" t="s">
        <v>482</v>
      </c>
      <c r="J62" s="8" t="s">
        <v>242</v>
      </c>
      <c r="K62" s="8" t="s">
        <v>483</v>
      </c>
      <c r="L62" s="8" t="s">
        <v>255</v>
      </c>
      <c r="M62" s="8" t="s">
        <v>484</v>
      </c>
      <c r="N62" s="8" t="s">
        <v>485</v>
      </c>
      <c r="O62" s="8"/>
    </row>
    <row r="63" customFormat="false" ht="15" hidden="false" customHeight="true" outlineLevel="0" collapsed="false">
      <c r="A63" s="8" t="s">
        <v>263</v>
      </c>
      <c r="B63" s="8" t="s">
        <v>486</v>
      </c>
      <c r="C63" s="8" t="s">
        <v>487</v>
      </c>
      <c r="D63" s="8" t="s">
        <v>477</v>
      </c>
      <c r="E63" s="8" t="s">
        <v>488</v>
      </c>
      <c r="F63" s="8" t="s">
        <v>489</v>
      </c>
      <c r="G63" s="8" t="s">
        <v>369</v>
      </c>
      <c r="H63" s="8" t="s">
        <v>481</v>
      </c>
      <c r="I63" s="8" t="s">
        <v>482</v>
      </c>
      <c r="J63" s="8" t="s">
        <v>242</v>
      </c>
      <c r="K63" s="8" t="s">
        <v>483</v>
      </c>
      <c r="L63" s="8" t="s">
        <v>255</v>
      </c>
      <c r="M63" s="8" t="s">
        <v>484</v>
      </c>
      <c r="N63" s="8" t="s">
        <v>490</v>
      </c>
      <c r="O63" s="8"/>
    </row>
    <row r="64" customFormat="false" ht="15" hidden="false" customHeight="true" outlineLevel="0" collapsed="false">
      <c r="A64" s="8" t="s">
        <v>263</v>
      </c>
      <c r="B64" s="8" t="s">
        <v>491</v>
      </c>
      <c r="C64" s="8" t="s">
        <v>492</v>
      </c>
      <c r="D64" s="8" t="s">
        <v>477</v>
      </c>
      <c r="E64" s="8" t="s">
        <v>488</v>
      </c>
      <c r="F64" s="8" t="s">
        <v>489</v>
      </c>
      <c r="G64" s="8" t="s">
        <v>369</v>
      </c>
      <c r="H64" s="8" t="s">
        <v>481</v>
      </c>
      <c r="I64" s="8" t="s">
        <v>482</v>
      </c>
      <c r="J64" s="8" t="s">
        <v>242</v>
      </c>
      <c r="K64" s="8" t="s">
        <v>483</v>
      </c>
      <c r="L64" s="8" t="s">
        <v>255</v>
      </c>
      <c r="M64" s="8" t="s">
        <v>484</v>
      </c>
      <c r="N64" s="8" t="s">
        <v>493</v>
      </c>
      <c r="O64" s="8"/>
    </row>
    <row r="65" customFormat="false" ht="23.25" hidden="false" customHeight="true" outlineLevel="0" collapsed="false">
      <c r="A65" s="8" t="s">
        <v>263</v>
      </c>
      <c r="B65" s="8" t="s">
        <v>494</v>
      </c>
      <c r="C65" s="8" t="s">
        <v>495</v>
      </c>
      <c r="D65" s="8" t="s">
        <v>477</v>
      </c>
      <c r="E65" s="8" t="s">
        <v>478</v>
      </c>
      <c r="F65" s="8" t="s">
        <v>597</v>
      </c>
      <c r="G65" s="8" t="s">
        <v>480</v>
      </c>
      <c r="H65" s="8" t="s">
        <v>481</v>
      </c>
      <c r="I65" s="8" t="s">
        <v>482</v>
      </c>
      <c r="J65" s="8" t="s">
        <v>496</v>
      </c>
      <c r="K65" s="8" t="s">
        <v>497</v>
      </c>
      <c r="L65" s="8" t="s">
        <v>255</v>
      </c>
      <c r="M65" s="8" t="s">
        <v>484</v>
      </c>
      <c r="N65" s="8" t="s">
        <v>498</v>
      </c>
      <c r="O65" s="8"/>
    </row>
    <row r="66" customFormat="false" ht="23.25" hidden="false" customHeight="true" outlineLevel="0" collapsed="false">
      <c r="A66" s="8" t="s">
        <v>263</v>
      </c>
      <c r="B66" s="8" t="s">
        <v>499</v>
      </c>
      <c r="C66" s="8" t="s">
        <v>500</v>
      </c>
      <c r="D66" s="8" t="s">
        <v>477</v>
      </c>
      <c r="E66" s="8" t="s">
        <v>478</v>
      </c>
      <c r="F66" s="8" t="s">
        <v>597</v>
      </c>
      <c r="G66" s="8" t="s">
        <v>480</v>
      </c>
      <c r="H66" s="8" t="s">
        <v>481</v>
      </c>
      <c r="I66" s="8" t="s">
        <v>482</v>
      </c>
      <c r="J66" s="8" t="s">
        <v>242</v>
      </c>
      <c r="K66" s="8" t="s">
        <v>497</v>
      </c>
      <c r="L66" s="8" t="s">
        <v>255</v>
      </c>
      <c r="M66" s="8" t="s">
        <v>484</v>
      </c>
      <c r="N66" s="8" t="s">
        <v>501</v>
      </c>
      <c r="O66" s="8"/>
    </row>
    <row r="67" customFormat="false" ht="23.25" hidden="false" customHeight="true" outlineLevel="0" collapsed="false">
      <c r="A67" s="8" t="s">
        <v>263</v>
      </c>
      <c r="B67" s="8" t="s">
        <v>502</v>
      </c>
      <c r="C67" s="8" t="s">
        <v>503</v>
      </c>
      <c r="D67" s="8" t="s">
        <v>477</v>
      </c>
      <c r="E67" s="8" t="s">
        <v>488</v>
      </c>
      <c r="F67" s="8" t="s">
        <v>489</v>
      </c>
      <c r="G67" s="8" t="s">
        <v>369</v>
      </c>
      <c r="H67" s="8" t="s">
        <v>481</v>
      </c>
      <c r="I67" s="8" t="s">
        <v>482</v>
      </c>
      <c r="J67" s="8" t="s">
        <v>242</v>
      </c>
      <c r="K67" s="8" t="s">
        <v>483</v>
      </c>
      <c r="L67" s="8" t="s">
        <v>255</v>
      </c>
      <c r="M67" s="8" t="s">
        <v>484</v>
      </c>
      <c r="N67" s="8" t="s">
        <v>504</v>
      </c>
      <c r="O67" s="8"/>
    </row>
    <row r="68" customFormat="false" ht="23.25" hidden="false" customHeight="true" outlineLevel="0" collapsed="false">
      <c r="A68" s="8" t="s">
        <v>263</v>
      </c>
      <c r="B68" s="8" t="s">
        <v>505</v>
      </c>
      <c r="C68" s="8" t="s">
        <v>506</v>
      </c>
      <c r="D68" s="8" t="s">
        <v>477</v>
      </c>
      <c r="E68" s="8" t="s">
        <v>507</v>
      </c>
      <c r="F68" s="8" t="s">
        <v>597</v>
      </c>
      <c r="G68" s="8" t="s">
        <v>369</v>
      </c>
      <c r="H68" s="8" t="s">
        <v>481</v>
      </c>
      <c r="I68" s="8" t="s">
        <v>508</v>
      </c>
      <c r="J68" s="8" t="s">
        <v>242</v>
      </c>
      <c r="K68" s="8" t="s">
        <v>497</v>
      </c>
      <c r="L68" s="8" t="s">
        <v>255</v>
      </c>
      <c r="M68" s="8" t="s">
        <v>484</v>
      </c>
      <c r="N68" s="8" t="s">
        <v>509</v>
      </c>
      <c r="O68" s="8"/>
    </row>
    <row r="69" customFormat="false" ht="23.25" hidden="false" customHeight="true" outlineLevel="0" collapsed="false">
      <c r="A69" s="8" t="s">
        <v>263</v>
      </c>
      <c r="B69" s="8" t="s">
        <v>510</v>
      </c>
      <c r="C69" s="8" t="s">
        <v>511</v>
      </c>
      <c r="D69" s="8" t="s">
        <v>477</v>
      </c>
      <c r="E69" s="8" t="s">
        <v>507</v>
      </c>
      <c r="F69" s="8" t="s">
        <v>597</v>
      </c>
      <c r="G69" s="8" t="s">
        <v>369</v>
      </c>
      <c r="H69" s="8" t="s">
        <v>481</v>
      </c>
      <c r="I69" s="8" t="s">
        <v>512</v>
      </c>
      <c r="J69" s="8" t="s">
        <v>242</v>
      </c>
      <c r="K69" s="8" t="s">
        <v>497</v>
      </c>
      <c r="L69" s="8" t="s">
        <v>255</v>
      </c>
      <c r="M69" s="8" t="s">
        <v>484</v>
      </c>
      <c r="N69" s="8" t="s">
        <v>513</v>
      </c>
      <c r="O69" s="8"/>
    </row>
    <row r="70" customFormat="false" ht="23.25" hidden="false" customHeight="true" outlineLevel="0" collapsed="false">
      <c r="A70" s="8" t="s">
        <v>263</v>
      </c>
      <c r="B70" s="8" t="s">
        <v>514</v>
      </c>
      <c r="C70" s="8" t="s">
        <v>515</v>
      </c>
      <c r="D70" s="8" t="s">
        <v>477</v>
      </c>
      <c r="E70" s="8" t="s">
        <v>507</v>
      </c>
      <c r="F70" s="8" t="s">
        <v>597</v>
      </c>
      <c r="G70" s="8" t="s">
        <v>369</v>
      </c>
      <c r="H70" s="8" t="s">
        <v>481</v>
      </c>
      <c r="I70" s="8" t="s">
        <v>508</v>
      </c>
      <c r="J70" s="8" t="s">
        <v>242</v>
      </c>
      <c r="K70" s="8" t="s">
        <v>497</v>
      </c>
      <c r="L70" s="8" t="s">
        <v>255</v>
      </c>
      <c r="M70" s="8" t="s">
        <v>484</v>
      </c>
      <c r="N70" s="8" t="s">
        <v>516</v>
      </c>
      <c r="O70" s="8"/>
    </row>
    <row r="71" customFormat="false" ht="23.25" hidden="false" customHeight="true" outlineLevel="0" collapsed="false">
      <c r="A71" s="8" t="s">
        <v>263</v>
      </c>
      <c r="B71" s="8" t="s">
        <v>517</v>
      </c>
      <c r="C71" s="8" t="s">
        <v>518</v>
      </c>
      <c r="D71" s="8" t="s">
        <v>477</v>
      </c>
      <c r="E71" s="8" t="s">
        <v>507</v>
      </c>
      <c r="F71" s="8" t="s">
        <v>597</v>
      </c>
      <c r="G71" s="8" t="s">
        <v>369</v>
      </c>
      <c r="H71" s="8" t="s">
        <v>481</v>
      </c>
      <c r="I71" s="8" t="s">
        <v>508</v>
      </c>
      <c r="J71" s="8" t="s">
        <v>242</v>
      </c>
      <c r="K71" s="8" t="s">
        <v>497</v>
      </c>
      <c r="L71" s="8" t="s">
        <v>255</v>
      </c>
      <c r="M71" s="8" t="s">
        <v>484</v>
      </c>
      <c r="N71" s="8" t="s">
        <v>519</v>
      </c>
      <c r="O71" s="8"/>
    </row>
    <row r="72" customFormat="false" ht="34.5" hidden="false" customHeight="true" outlineLevel="0" collapsed="false">
      <c r="A72" s="8" t="s">
        <v>263</v>
      </c>
      <c r="B72" s="8" t="s">
        <v>520</v>
      </c>
      <c r="C72" s="8" t="s">
        <v>521</v>
      </c>
      <c r="D72" s="8" t="s">
        <v>593</v>
      </c>
      <c r="E72" s="8" t="s">
        <v>507</v>
      </c>
      <c r="F72" s="8"/>
      <c r="G72" s="8"/>
      <c r="H72" s="8" t="s">
        <v>481</v>
      </c>
      <c r="I72" s="8" t="s">
        <v>522</v>
      </c>
      <c r="J72" s="8" t="s">
        <v>252</v>
      </c>
      <c r="K72" s="8"/>
      <c r="L72" s="8"/>
      <c r="M72" s="8" t="s">
        <v>484</v>
      </c>
      <c r="N72" s="8" t="s">
        <v>524</v>
      </c>
      <c r="O72" s="8" t="s">
        <v>594</v>
      </c>
    </row>
    <row r="73" customFormat="false" ht="23.25" hidden="false" customHeight="true" outlineLevel="0" collapsed="false">
      <c r="A73" s="8" t="s">
        <v>263</v>
      </c>
      <c r="B73" s="8" t="s">
        <v>525</v>
      </c>
      <c r="C73" s="8" t="s">
        <v>526</v>
      </c>
      <c r="D73" s="8" t="s">
        <v>477</v>
      </c>
      <c r="E73" s="8" t="s">
        <v>478</v>
      </c>
      <c r="F73" s="8" t="s">
        <v>597</v>
      </c>
      <c r="G73" s="8" t="s">
        <v>480</v>
      </c>
      <c r="H73" s="8" t="s">
        <v>481</v>
      </c>
      <c r="I73" s="8" t="s">
        <v>527</v>
      </c>
      <c r="J73" s="8" t="s">
        <v>242</v>
      </c>
      <c r="K73" s="8" t="s">
        <v>497</v>
      </c>
      <c r="L73" s="8" t="s">
        <v>255</v>
      </c>
      <c r="M73" s="8" t="s">
        <v>484</v>
      </c>
      <c r="N73" s="8" t="s">
        <v>528</v>
      </c>
      <c r="O73" s="8"/>
    </row>
    <row r="74" customFormat="false" ht="23.25" hidden="false" customHeight="true" outlineLevel="0" collapsed="false">
      <c r="A74" s="8" t="s">
        <v>263</v>
      </c>
      <c r="B74" s="8" t="s">
        <v>529</v>
      </c>
      <c r="C74" s="8" t="s">
        <v>530</v>
      </c>
      <c r="D74" s="8" t="s">
        <v>477</v>
      </c>
      <c r="E74" s="8" t="s">
        <v>478</v>
      </c>
      <c r="F74" s="8" t="s">
        <v>597</v>
      </c>
      <c r="G74" s="8" t="s">
        <v>480</v>
      </c>
      <c r="H74" s="8" t="s">
        <v>481</v>
      </c>
      <c r="I74" s="8" t="s">
        <v>527</v>
      </c>
      <c r="J74" s="8" t="s">
        <v>242</v>
      </c>
      <c r="K74" s="8" t="s">
        <v>497</v>
      </c>
      <c r="L74" s="8" t="s">
        <v>255</v>
      </c>
      <c r="M74" s="8" t="s">
        <v>484</v>
      </c>
      <c r="N74" s="8" t="s">
        <v>528</v>
      </c>
      <c r="O74" s="8"/>
    </row>
    <row r="75" customFormat="false" ht="23.25" hidden="false" customHeight="true" outlineLevel="0" collapsed="false">
      <c r="A75" s="8" t="s">
        <v>263</v>
      </c>
      <c r="B75" s="8" t="s">
        <v>531</v>
      </c>
      <c r="C75" s="8" t="s">
        <v>532</v>
      </c>
      <c r="D75" s="8" t="s">
        <v>477</v>
      </c>
      <c r="E75" s="8" t="s">
        <v>478</v>
      </c>
      <c r="F75" s="8" t="s">
        <v>597</v>
      </c>
      <c r="G75" s="8" t="s">
        <v>480</v>
      </c>
      <c r="H75" s="8" t="s">
        <v>481</v>
      </c>
      <c r="I75" s="8" t="s">
        <v>527</v>
      </c>
      <c r="J75" s="8" t="s">
        <v>252</v>
      </c>
      <c r="K75" s="8" t="s">
        <v>533</v>
      </c>
      <c r="L75" s="8" t="s">
        <v>255</v>
      </c>
      <c r="M75" s="8" t="s">
        <v>484</v>
      </c>
      <c r="N75" s="8" t="s">
        <v>534</v>
      </c>
      <c r="O75" s="8"/>
    </row>
    <row r="76" customFormat="false" ht="23.25" hidden="false" customHeight="true" outlineLevel="0" collapsed="false">
      <c r="A76" s="8" t="s">
        <v>263</v>
      </c>
      <c r="B76" s="8" t="s">
        <v>535</v>
      </c>
      <c r="C76" s="8" t="s">
        <v>536</v>
      </c>
      <c r="D76" s="8" t="s">
        <v>477</v>
      </c>
      <c r="E76" s="8" t="s">
        <v>507</v>
      </c>
      <c r="F76" s="8" t="s">
        <v>597</v>
      </c>
      <c r="G76" s="8" t="s">
        <v>369</v>
      </c>
      <c r="H76" s="8" t="s">
        <v>481</v>
      </c>
      <c r="I76" s="8" t="s">
        <v>527</v>
      </c>
      <c r="J76" s="8" t="s">
        <v>252</v>
      </c>
      <c r="K76" s="8" t="s">
        <v>537</v>
      </c>
      <c r="L76" s="8" t="s">
        <v>255</v>
      </c>
      <c r="M76" s="8" t="s">
        <v>484</v>
      </c>
      <c r="N76" s="8" t="s">
        <v>534</v>
      </c>
      <c r="O76" s="8"/>
    </row>
    <row r="77" customFormat="false" ht="23.25" hidden="false" customHeight="true" outlineLevel="0" collapsed="false">
      <c r="A77" s="8" t="s">
        <v>263</v>
      </c>
      <c r="B77" s="8" t="s">
        <v>538</v>
      </c>
      <c r="C77" s="8" t="s">
        <v>539</v>
      </c>
      <c r="D77" s="8" t="s">
        <v>477</v>
      </c>
      <c r="E77" s="8" t="s">
        <v>478</v>
      </c>
      <c r="F77" s="8" t="s">
        <v>597</v>
      </c>
      <c r="G77" s="8" t="s">
        <v>480</v>
      </c>
      <c r="H77" s="8" t="s">
        <v>540</v>
      </c>
      <c r="I77" s="8" t="s">
        <v>541</v>
      </c>
      <c r="J77" s="8" t="n">
        <v>3</v>
      </c>
      <c r="K77" s="8" t="s">
        <v>497</v>
      </c>
      <c r="L77" s="8" t="s">
        <v>255</v>
      </c>
      <c r="M77" s="8" t="s">
        <v>484</v>
      </c>
      <c r="N77" s="8" t="s">
        <v>542</v>
      </c>
      <c r="O77" s="8" t="s">
        <v>543</v>
      </c>
    </row>
    <row r="78" customFormat="false" ht="23.25" hidden="false" customHeight="true" outlineLevel="0" collapsed="false">
      <c r="A78" s="8" t="s">
        <v>263</v>
      </c>
      <c r="B78" s="8" t="s">
        <v>544</v>
      </c>
      <c r="C78" s="8" t="s">
        <v>545</v>
      </c>
      <c r="D78" s="8" t="s">
        <v>477</v>
      </c>
      <c r="E78" s="8" t="s">
        <v>478</v>
      </c>
      <c r="F78" s="8" t="s">
        <v>597</v>
      </c>
      <c r="G78" s="8" t="s">
        <v>480</v>
      </c>
      <c r="H78" s="8" t="s">
        <v>481</v>
      </c>
      <c r="I78" s="8" t="s">
        <v>546</v>
      </c>
      <c r="J78" s="8" t="s">
        <v>496</v>
      </c>
      <c r="K78" s="8" t="s">
        <v>497</v>
      </c>
      <c r="L78" s="8" t="s">
        <v>255</v>
      </c>
      <c r="M78" s="8" t="s">
        <v>484</v>
      </c>
      <c r="N78" s="8" t="s">
        <v>498</v>
      </c>
      <c r="O78" s="8"/>
    </row>
    <row r="79" customFormat="false" ht="23.25" hidden="false" customHeight="true" outlineLevel="0" collapsed="false">
      <c r="A79" s="8" t="s">
        <v>263</v>
      </c>
      <c r="B79" s="8" t="s">
        <v>547</v>
      </c>
      <c r="C79" s="8" t="s">
        <v>548</v>
      </c>
      <c r="D79" s="8" t="s">
        <v>477</v>
      </c>
      <c r="E79" s="8" t="s">
        <v>488</v>
      </c>
      <c r="F79" s="8" t="s">
        <v>489</v>
      </c>
      <c r="G79" s="8" t="s">
        <v>369</v>
      </c>
      <c r="H79" s="8" t="s">
        <v>481</v>
      </c>
      <c r="I79" s="8" t="s">
        <v>550</v>
      </c>
      <c r="J79" s="8" t="s">
        <v>257</v>
      </c>
      <c r="K79" s="8" t="s">
        <v>523</v>
      </c>
      <c r="L79" s="8" t="s">
        <v>260</v>
      </c>
      <c r="M79" s="8" t="s">
        <v>484</v>
      </c>
      <c r="N79" s="8" t="s">
        <v>551</v>
      </c>
      <c r="O79" s="8"/>
    </row>
    <row r="80" customFormat="false" ht="23.25" hidden="false" customHeight="true" outlineLevel="0" collapsed="false">
      <c r="A80" s="8" t="s">
        <v>263</v>
      </c>
      <c r="B80" s="8" t="s">
        <v>552</v>
      </c>
      <c r="C80" s="8" t="s">
        <v>553</v>
      </c>
      <c r="D80" s="8" t="s">
        <v>477</v>
      </c>
      <c r="E80" s="8" t="s">
        <v>507</v>
      </c>
      <c r="F80" s="8" t="s">
        <v>597</v>
      </c>
      <c r="G80" s="8" t="s">
        <v>369</v>
      </c>
      <c r="H80" s="8" t="s">
        <v>481</v>
      </c>
      <c r="I80" s="8" t="s">
        <v>550</v>
      </c>
      <c r="J80" s="8" t="s">
        <v>496</v>
      </c>
      <c r="K80" s="8" t="s">
        <v>595</v>
      </c>
      <c r="L80" s="8" t="s">
        <v>260</v>
      </c>
      <c r="M80" s="8" t="s">
        <v>484</v>
      </c>
      <c r="N80" s="8" t="s">
        <v>554</v>
      </c>
      <c r="O80" s="8"/>
    </row>
    <row r="81" customFormat="false" ht="23.25" hidden="false" customHeight="true" outlineLevel="0" collapsed="false">
      <c r="A81" s="8" t="s">
        <v>263</v>
      </c>
      <c r="B81" s="8" t="s">
        <v>555</v>
      </c>
      <c r="C81" s="8" t="s">
        <v>556</v>
      </c>
      <c r="D81" s="8" t="s">
        <v>477</v>
      </c>
      <c r="E81" s="8" t="s">
        <v>478</v>
      </c>
      <c r="F81" s="8" t="s">
        <v>597</v>
      </c>
      <c r="G81" s="8" t="s">
        <v>480</v>
      </c>
      <c r="H81" s="8" t="s">
        <v>481</v>
      </c>
      <c r="I81" s="8" t="s">
        <v>550</v>
      </c>
      <c r="J81" s="8" t="s">
        <v>496</v>
      </c>
      <c r="K81" s="8" t="s">
        <v>595</v>
      </c>
      <c r="L81" s="8" t="s">
        <v>260</v>
      </c>
      <c r="M81" s="8" t="s">
        <v>484</v>
      </c>
      <c r="N81" s="8" t="s">
        <v>557</v>
      </c>
      <c r="O81" s="8"/>
    </row>
    <row r="82" customFormat="false" ht="23.25" hidden="false" customHeight="true" outlineLevel="0" collapsed="false">
      <c r="A82" s="8" t="s">
        <v>263</v>
      </c>
      <c r="B82" s="8" t="s">
        <v>558</v>
      </c>
      <c r="C82" s="8" t="s">
        <v>559</v>
      </c>
      <c r="D82" s="8" t="s">
        <v>477</v>
      </c>
      <c r="E82" s="8" t="s">
        <v>478</v>
      </c>
      <c r="F82" s="8" t="s">
        <v>597</v>
      </c>
      <c r="G82" s="8" t="s">
        <v>480</v>
      </c>
      <c r="H82" s="8" t="s">
        <v>481</v>
      </c>
      <c r="I82" s="8" t="s">
        <v>550</v>
      </c>
      <c r="J82" s="8" t="s">
        <v>496</v>
      </c>
      <c r="K82" s="8" t="s">
        <v>497</v>
      </c>
      <c r="L82" s="8" t="s">
        <v>260</v>
      </c>
      <c r="M82" s="8" t="s">
        <v>560</v>
      </c>
      <c r="N82" s="8" t="s">
        <v>561</v>
      </c>
      <c r="O82" s="8"/>
    </row>
    <row r="83" customFormat="false" ht="23.25" hidden="false" customHeight="true" outlineLevel="0" collapsed="false">
      <c r="A83" s="8" t="s">
        <v>263</v>
      </c>
      <c r="B83" s="8" t="s">
        <v>562</v>
      </c>
      <c r="C83" s="8" t="s">
        <v>563</v>
      </c>
      <c r="D83" s="8" t="s">
        <v>477</v>
      </c>
      <c r="E83" s="8" t="s">
        <v>507</v>
      </c>
      <c r="F83" s="8" t="s">
        <v>597</v>
      </c>
      <c r="G83" s="8" t="s">
        <v>369</v>
      </c>
      <c r="H83" s="8" t="s">
        <v>481</v>
      </c>
      <c r="I83" s="8" t="s">
        <v>522</v>
      </c>
      <c r="J83" s="8" t="s">
        <v>257</v>
      </c>
      <c r="K83" s="8" t="s">
        <v>523</v>
      </c>
      <c r="L83" s="8" t="s">
        <v>260</v>
      </c>
      <c r="M83" s="8" t="s">
        <v>560</v>
      </c>
      <c r="N83" s="8" t="s">
        <v>564</v>
      </c>
      <c r="O83" s="8"/>
    </row>
    <row r="84" customFormat="false" ht="15" hidden="false" customHeight="true" outlineLevel="0" collapsed="false">
      <c r="A84" s="8" t="s">
        <v>263</v>
      </c>
      <c r="B84" s="8" t="s">
        <v>565</v>
      </c>
      <c r="C84" s="8" t="s">
        <v>566</v>
      </c>
      <c r="D84" s="8" t="s">
        <v>477</v>
      </c>
      <c r="E84" s="8" t="s">
        <v>488</v>
      </c>
      <c r="F84" s="8" t="s">
        <v>489</v>
      </c>
      <c r="G84" s="8" t="s">
        <v>369</v>
      </c>
      <c r="H84" s="8" t="s">
        <v>481</v>
      </c>
      <c r="I84" s="8" t="s">
        <v>522</v>
      </c>
      <c r="J84" s="8" t="s">
        <v>257</v>
      </c>
      <c r="K84" s="8" t="s">
        <v>523</v>
      </c>
      <c r="L84" s="8" t="s">
        <v>260</v>
      </c>
      <c r="M84" s="8" t="s">
        <v>484</v>
      </c>
      <c r="N84" s="8" t="s">
        <v>567</v>
      </c>
      <c r="O84" s="8"/>
    </row>
    <row r="85" customFormat="false" ht="15" hidden="false" customHeight="true" outlineLevel="0" collapsed="false">
      <c r="A85" s="8" t="s">
        <v>263</v>
      </c>
      <c r="B85" s="8" t="s">
        <v>568</v>
      </c>
      <c r="C85" s="8" t="s">
        <v>569</v>
      </c>
      <c r="D85" s="8" t="s">
        <v>477</v>
      </c>
      <c r="E85" s="8" t="s">
        <v>488</v>
      </c>
      <c r="F85" s="8" t="s">
        <v>489</v>
      </c>
      <c r="G85" s="8" t="s">
        <v>369</v>
      </c>
      <c r="H85" s="8" t="s">
        <v>570</v>
      </c>
      <c r="I85" s="8" t="s">
        <v>550</v>
      </c>
      <c r="J85" s="8" t="s">
        <v>496</v>
      </c>
      <c r="K85" s="8" t="s">
        <v>497</v>
      </c>
      <c r="L85" s="8" t="s">
        <v>260</v>
      </c>
      <c r="M85" s="8" t="s">
        <v>484</v>
      </c>
      <c r="N85" s="8" t="s">
        <v>571</v>
      </c>
      <c r="O85" s="8" t="s">
        <v>596</v>
      </c>
    </row>
    <row r="86" customFormat="false" ht="15" hidden="false" customHeight="true" outlineLevel="0" collapsed="false">
      <c r="A86" s="8" t="s">
        <v>263</v>
      </c>
      <c r="B86" s="8" t="s">
        <v>572</v>
      </c>
      <c r="C86" s="8" t="s">
        <v>573</v>
      </c>
      <c r="D86" s="8" t="s">
        <v>477</v>
      </c>
      <c r="E86" s="8" t="s">
        <v>488</v>
      </c>
      <c r="F86" s="8" t="s">
        <v>489</v>
      </c>
      <c r="G86" s="8" t="s">
        <v>369</v>
      </c>
      <c r="H86" s="8" t="s">
        <v>481</v>
      </c>
      <c r="I86" s="8" t="s">
        <v>574</v>
      </c>
      <c r="J86" s="8" t="s">
        <v>261</v>
      </c>
      <c r="K86" s="8" t="s">
        <v>598</v>
      </c>
      <c r="L86" s="8" t="s">
        <v>393</v>
      </c>
      <c r="M86" s="8" t="s">
        <v>484</v>
      </c>
      <c r="N86" s="8" t="s">
        <v>575</v>
      </c>
      <c r="O86" s="8"/>
    </row>
    <row r="87" customFormat="false" ht="15" hidden="false" customHeight="true" outlineLevel="0" collapsed="false">
      <c r="A87" s="8" t="s">
        <v>263</v>
      </c>
      <c r="B87" s="8" t="s">
        <v>576</v>
      </c>
      <c r="C87" s="8" t="s">
        <v>577</v>
      </c>
      <c r="D87" s="8" t="s">
        <v>477</v>
      </c>
      <c r="E87" s="8" t="s">
        <v>488</v>
      </c>
      <c r="F87" s="8" t="s">
        <v>489</v>
      </c>
      <c r="G87" s="8" t="s">
        <v>369</v>
      </c>
      <c r="H87" s="8" t="s">
        <v>481</v>
      </c>
      <c r="I87" s="8" t="s">
        <v>574</v>
      </c>
      <c r="J87" s="8" t="s">
        <v>496</v>
      </c>
      <c r="K87" s="8" t="s">
        <v>598</v>
      </c>
      <c r="L87" s="8" t="s">
        <v>393</v>
      </c>
      <c r="M87" s="8" t="s">
        <v>484</v>
      </c>
      <c r="N87" s="8" t="s">
        <v>578</v>
      </c>
      <c r="O87" s="8"/>
    </row>
    <row r="88" customFormat="false" ht="15" hidden="false" customHeight="true" outlineLevel="0" collapsed="false">
      <c r="A88" s="8" t="s">
        <v>263</v>
      </c>
      <c r="B88" s="8" t="s">
        <v>579</v>
      </c>
      <c r="C88" s="8" t="s">
        <v>580</v>
      </c>
      <c r="D88" s="8" t="s">
        <v>477</v>
      </c>
      <c r="E88" s="8" t="s">
        <v>488</v>
      </c>
      <c r="F88" s="8" t="s">
        <v>489</v>
      </c>
      <c r="G88" s="8" t="s">
        <v>369</v>
      </c>
      <c r="H88" s="8" t="s">
        <v>481</v>
      </c>
      <c r="I88" s="8" t="s">
        <v>581</v>
      </c>
      <c r="J88" s="8" t="s">
        <v>261</v>
      </c>
      <c r="K88" s="8" t="s">
        <v>598</v>
      </c>
      <c r="L88" s="8" t="s">
        <v>393</v>
      </c>
      <c r="M88" s="8" t="s">
        <v>484</v>
      </c>
      <c r="N88" s="8" t="s">
        <v>582</v>
      </c>
      <c r="O88" s="8"/>
    </row>
    <row r="89" customFormat="false" ht="15" hidden="false" customHeight="true" outlineLevel="0" collapsed="false">
      <c r="A89" s="8" t="s">
        <v>263</v>
      </c>
      <c r="B89" s="8" t="s">
        <v>583</v>
      </c>
      <c r="C89" s="8" t="s">
        <v>584</v>
      </c>
      <c r="D89" s="8" t="s">
        <v>477</v>
      </c>
      <c r="E89" s="8" t="s">
        <v>488</v>
      </c>
      <c r="F89" s="8" t="s">
        <v>489</v>
      </c>
      <c r="G89" s="8" t="s">
        <v>369</v>
      </c>
      <c r="H89" s="8" t="s">
        <v>481</v>
      </c>
      <c r="I89" s="8" t="s">
        <v>541</v>
      </c>
      <c r="J89" s="8" t="s">
        <v>496</v>
      </c>
      <c r="K89" s="8" t="s">
        <v>598</v>
      </c>
      <c r="L89" s="8" t="s">
        <v>393</v>
      </c>
      <c r="M89" s="8" t="s">
        <v>484</v>
      </c>
      <c r="N89" s="8" t="s">
        <v>578</v>
      </c>
      <c r="O89" s="8"/>
    </row>
    <row r="90" customFormat="false" ht="15" hidden="false" customHeight="true" outlineLevel="0" collapsed="false">
      <c r="A90" s="8" t="s">
        <v>263</v>
      </c>
      <c r="B90" s="8" t="s">
        <v>585</v>
      </c>
      <c r="C90" s="8" t="s">
        <v>586</v>
      </c>
      <c r="D90" s="8" t="s">
        <v>477</v>
      </c>
      <c r="E90" s="8" t="s">
        <v>488</v>
      </c>
      <c r="F90" s="8" t="s">
        <v>489</v>
      </c>
      <c r="G90" s="8" t="s">
        <v>369</v>
      </c>
      <c r="H90" s="8" t="s">
        <v>481</v>
      </c>
      <c r="I90" s="8" t="s">
        <v>522</v>
      </c>
      <c r="J90" s="8" t="s">
        <v>261</v>
      </c>
      <c r="K90" s="8" t="s">
        <v>523</v>
      </c>
      <c r="L90" s="8" t="s">
        <v>393</v>
      </c>
      <c r="M90" s="8" t="s">
        <v>484</v>
      </c>
      <c r="N90" s="8" t="s">
        <v>587</v>
      </c>
      <c r="O90" s="8"/>
    </row>
    <row r="91" customFormat="false" ht="23.25" hidden="false" customHeight="true" outlineLevel="0" collapsed="false">
      <c r="A91" s="8" t="s">
        <v>263</v>
      </c>
      <c r="B91" s="8" t="s">
        <v>588</v>
      </c>
      <c r="C91" s="8" t="s">
        <v>589</v>
      </c>
      <c r="D91" s="8" t="s">
        <v>477</v>
      </c>
      <c r="E91" s="8" t="s">
        <v>590</v>
      </c>
      <c r="F91" s="8" t="s">
        <v>599</v>
      </c>
      <c r="G91" s="8" t="s">
        <v>600</v>
      </c>
      <c r="H91" s="8" t="s">
        <v>481</v>
      </c>
      <c r="I91" s="8" t="s">
        <v>574</v>
      </c>
      <c r="J91" s="8" t="s">
        <v>261</v>
      </c>
      <c r="K91" s="8" t="s">
        <v>598</v>
      </c>
      <c r="L91" s="8" t="s">
        <v>393</v>
      </c>
      <c r="M91" s="8" t="s">
        <v>484</v>
      </c>
      <c r="N91" s="8" t="s">
        <v>591</v>
      </c>
      <c r="O91" s="8" t="s">
        <v>601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42"/>
    <col collapsed="false" customWidth="true" hidden="false" outlineLevel="0" max="3" min="3" style="1" width="18"/>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12"/>
    <col collapsed="false" customWidth="true" hidden="false" outlineLevel="0" max="8" min="8" style="1" width="22"/>
    <col collapsed="false" customWidth="true" hidden="false" outlineLevel="0" max="9" min="9" style="1" width="40"/>
    <col collapsed="false" customWidth="true" hidden="false" outlineLevel="0" max="10" min="10" style="1" width="12"/>
    <col collapsed="false" customWidth="true" hidden="false" outlineLevel="0" max="11" min="11" style="1" width="30"/>
    <col collapsed="false" customWidth="true" hidden="false" outlineLevel="0" max="12" min="12" style="1" width="42"/>
    <col collapsed="false" customWidth="true" hidden="false" outlineLevel="0" max="13" min="13" style="1" width="30"/>
  </cols>
  <sheetData>
    <row r="1" customFormat="false" ht="23.25" hidden="false" customHeight="true" outlineLevel="0" collapsed="false">
      <c r="A1" s="7" t="s">
        <v>464</v>
      </c>
      <c r="B1" s="7" t="s">
        <v>465</v>
      </c>
      <c r="C1" s="7" t="s">
        <v>471</v>
      </c>
      <c r="D1" s="7" t="s">
        <v>429</v>
      </c>
      <c r="E1" s="7" t="s">
        <v>472</v>
      </c>
      <c r="F1" s="7" t="s">
        <v>602</v>
      </c>
      <c r="G1" s="7" t="s">
        <v>467</v>
      </c>
      <c r="H1" s="7" t="s">
        <v>470</v>
      </c>
      <c r="I1" s="7" t="s">
        <v>603</v>
      </c>
      <c r="J1" s="7" t="s">
        <v>474</v>
      </c>
      <c r="K1" s="7" t="s">
        <v>604</v>
      </c>
      <c r="L1" s="7" t="s">
        <v>241</v>
      </c>
      <c r="M1" s="7" t="s">
        <v>367</v>
      </c>
    </row>
    <row r="2" customFormat="false" ht="15" hidden="false" customHeight="true" outlineLevel="0" collapsed="false">
      <c r="A2" s="8" t="s">
        <v>475</v>
      </c>
      <c r="B2" s="8" t="s">
        <v>476</v>
      </c>
      <c r="C2" s="8" t="s">
        <v>482</v>
      </c>
      <c r="D2" s="8" t="s">
        <v>242</v>
      </c>
      <c r="E2" s="8" t="s">
        <v>483</v>
      </c>
      <c r="F2" s="8" t="s">
        <v>255</v>
      </c>
      <c r="G2" s="8" t="s">
        <v>478</v>
      </c>
      <c r="H2" s="8" t="s">
        <v>481</v>
      </c>
      <c r="I2" s="8"/>
      <c r="J2" s="8" t="s">
        <v>484</v>
      </c>
      <c r="K2" s="8" t="s">
        <v>605</v>
      </c>
      <c r="L2" s="8" t="s">
        <v>485</v>
      </c>
      <c r="M2" s="8"/>
    </row>
    <row r="3" customFormat="false" ht="15" hidden="false" customHeight="true" outlineLevel="0" collapsed="false">
      <c r="A3" s="8" t="s">
        <v>486</v>
      </c>
      <c r="B3" s="8" t="s">
        <v>487</v>
      </c>
      <c r="C3" s="8" t="s">
        <v>482</v>
      </c>
      <c r="D3" s="8" t="s">
        <v>242</v>
      </c>
      <c r="E3" s="8" t="s">
        <v>483</v>
      </c>
      <c r="F3" s="8" t="s">
        <v>255</v>
      </c>
      <c r="G3" s="8" t="s">
        <v>488</v>
      </c>
      <c r="H3" s="8" t="s">
        <v>481</v>
      </c>
      <c r="I3" s="8"/>
      <c r="J3" s="8" t="s">
        <v>484</v>
      </c>
      <c r="K3" s="8" t="s">
        <v>605</v>
      </c>
      <c r="L3" s="8" t="s">
        <v>490</v>
      </c>
      <c r="M3" s="8"/>
    </row>
    <row r="4" customFormat="false" ht="15" hidden="false" customHeight="true" outlineLevel="0" collapsed="false">
      <c r="A4" s="8" t="s">
        <v>491</v>
      </c>
      <c r="B4" s="8" t="s">
        <v>492</v>
      </c>
      <c r="C4" s="8" t="s">
        <v>482</v>
      </c>
      <c r="D4" s="8" t="s">
        <v>242</v>
      </c>
      <c r="E4" s="8" t="s">
        <v>483</v>
      </c>
      <c r="F4" s="8" t="s">
        <v>255</v>
      </c>
      <c r="G4" s="8" t="s">
        <v>488</v>
      </c>
      <c r="H4" s="8" t="s">
        <v>481</v>
      </c>
      <c r="I4" s="8"/>
      <c r="J4" s="8" t="s">
        <v>484</v>
      </c>
      <c r="K4" s="8" t="s">
        <v>605</v>
      </c>
      <c r="L4" s="8" t="s">
        <v>493</v>
      </c>
      <c r="M4" s="8"/>
    </row>
    <row r="5" customFormat="false" ht="15" hidden="false" customHeight="true" outlineLevel="0" collapsed="false">
      <c r="A5" s="8" t="s">
        <v>494</v>
      </c>
      <c r="B5" s="8" t="s">
        <v>495</v>
      </c>
      <c r="C5" s="8" t="s">
        <v>482</v>
      </c>
      <c r="D5" s="8" t="s">
        <v>496</v>
      </c>
      <c r="E5" s="8" t="s">
        <v>497</v>
      </c>
      <c r="F5" s="8" t="s">
        <v>255</v>
      </c>
      <c r="G5" s="8" t="s">
        <v>478</v>
      </c>
      <c r="H5" s="8" t="s">
        <v>481</v>
      </c>
      <c r="I5" s="8"/>
      <c r="J5" s="8" t="s">
        <v>484</v>
      </c>
      <c r="K5" s="8" t="s">
        <v>605</v>
      </c>
      <c r="L5" s="8" t="s">
        <v>498</v>
      </c>
      <c r="M5" s="8"/>
    </row>
    <row r="6" customFormat="false" ht="15" hidden="false" customHeight="true" outlineLevel="0" collapsed="false">
      <c r="A6" s="8" t="s">
        <v>499</v>
      </c>
      <c r="B6" s="8" t="s">
        <v>500</v>
      </c>
      <c r="C6" s="8" t="s">
        <v>482</v>
      </c>
      <c r="D6" s="8" t="s">
        <v>242</v>
      </c>
      <c r="E6" s="8" t="s">
        <v>497</v>
      </c>
      <c r="F6" s="8" t="s">
        <v>255</v>
      </c>
      <c r="G6" s="8" t="s">
        <v>478</v>
      </c>
      <c r="H6" s="8" t="s">
        <v>481</v>
      </c>
      <c r="I6" s="8"/>
      <c r="J6" s="8" t="s">
        <v>484</v>
      </c>
      <c r="K6" s="8" t="s">
        <v>605</v>
      </c>
      <c r="L6" s="8" t="s">
        <v>501</v>
      </c>
      <c r="M6" s="8"/>
    </row>
    <row r="7" customFormat="false" ht="23.25" hidden="false" customHeight="true" outlineLevel="0" collapsed="false">
      <c r="A7" s="8" t="s">
        <v>502</v>
      </c>
      <c r="B7" s="8" t="s">
        <v>503</v>
      </c>
      <c r="C7" s="8" t="s">
        <v>482</v>
      </c>
      <c r="D7" s="8" t="s">
        <v>242</v>
      </c>
      <c r="E7" s="8" t="s">
        <v>483</v>
      </c>
      <c r="F7" s="8" t="s">
        <v>255</v>
      </c>
      <c r="G7" s="8" t="s">
        <v>488</v>
      </c>
      <c r="H7" s="8" t="s">
        <v>481</v>
      </c>
      <c r="I7" s="8"/>
      <c r="J7" s="8" t="s">
        <v>484</v>
      </c>
      <c r="K7" s="8" t="s">
        <v>605</v>
      </c>
      <c r="L7" s="8" t="s">
        <v>504</v>
      </c>
      <c r="M7" s="8"/>
    </row>
    <row r="8" customFormat="false" ht="15" hidden="false" customHeight="true" outlineLevel="0" collapsed="false">
      <c r="A8" s="8" t="s">
        <v>505</v>
      </c>
      <c r="B8" s="8" t="s">
        <v>506</v>
      </c>
      <c r="C8" s="8" t="s">
        <v>508</v>
      </c>
      <c r="D8" s="8" t="s">
        <v>242</v>
      </c>
      <c r="E8" s="8" t="s">
        <v>497</v>
      </c>
      <c r="F8" s="8" t="s">
        <v>255</v>
      </c>
      <c r="G8" s="8" t="s">
        <v>507</v>
      </c>
      <c r="H8" s="8" t="s">
        <v>481</v>
      </c>
      <c r="I8" s="8"/>
      <c r="J8" s="8" t="s">
        <v>484</v>
      </c>
      <c r="K8" s="8" t="s">
        <v>605</v>
      </c>
      <c r="L8" s="8" t="s">
        <v>509</v>
      </c>
      <c r="M8" s="8"/>
    </row>
    <row r="9" customFormat="false" ht="15" hidden="false" customHeight="true" outlineLevel="0" collapsed="false">
      <c r="A9" s="8" t="s">
        <v>510</v>
      </c>
      <c r="B9" s="8" t="s">
        <v>511</v>
      </c>
      <c r="C9" s="8" t="s">
        <v>512</v>
      </c>
      <c r="D9" s="8" t="s">
        <v>242</v>
      </c>
      <c r="E9" s="8" t="s">
        <v>497</v>
      </c>
      <c r="F9" s="8" t="s">
        <v>255</v>
      </c>
      <c r="G9" s="8" t="s">
        <v>507</v>
      </c>
      <c r="H9" s="8" t="s">
        <v>481</v>
      </c>
      <c r="I9" s="8"/>
      <c r="J9" s="8" t="s">
        <v>484</v>
      </c>
      <c r="K9" s="8" t="s">
        <v>605</v>
      </c>
      <c r="L9" s="8" t="s">
        <v>513</v>
      </c>
      <c r="M9" s="8"/>
    </row>
    <row r="10" customFormat="false" ht="15" hidden="false" customHeight="true" outlineLevel="0" collapsed="false">
      <c r="A10" s="8" t="s">
        <v>514</v>
      </c>
      <c r="B10" s="8" t="s">
        <v>515</v>
      </c>
      <c r="C10" s="8" t="s">
        <v>508</v>
      </c>
      <c r="D10" s="8" t="s">
        <v>242</v>
      </c>
      <c r="E10" s="8" t="s">
        <v>497</v>
      </c>
      <c r="F10" s="8" t="s">
        <v>255</v>
      </c>
      <c r="G10" s="8" t="s">
        <v>507</v>
      </c>
      <c r="H10" s="8" t="s">
        <v>481</v>
      </c>
      <c r="I10" s="8"/>
      <c r="J10" s="8" t="s">
        <v>484</v>
      </c>
      <c r="K10" s="8" t="s">
        <v>605</v>
      </c>
      <c r="L10" s="8" t="s">
        <v>516</v>
      </c>
      <c r="M10" s="8"/>
    </row>
    <row r="11" customFormat="false" ht="23.25" hidden="false" customHeight="true" outlineLevel="0" collapsed="false">
      <c r="A11" s="8" t="s">
        <v>517</v>
      </c>
      <c r="B11" s="8" t="s">
        <v>518</v>
      </c>
      <c r="C11" s="8" t="s">
        <v>508</v>
      </c>
      <c r="D11" s="8" t="s">
        <v>242</v>
      </c>
      <c r="E11" s="8" t="s">
        <v>497</v>
      </c>
      <c r="F11" s="8" t="s">
        <v>255</v>
      </c>
      <c r="G11" s="8" t="s">
        <v>507</v>
      </c>
      <c r="H11" s="8" t="s">
        <v>481</v>
      </c>
      <c r="I11" s="8"/>
      <c r="J11" s="8" t="s">
        <v>484</v>
      </c>
      <c r="K11" s="8" t="s">
        <v>605</v>
      </c>
      <c r="L11" s="8" t="s">
        <v>519</v>
      </c>
      <c r="M11" s="8"/>
    </row>
    <row r="12" customFormat="false" ht="23.25" hidden="false" customHeight="true" outlineLevel="0" collapsed="false">
      <c r="A12" s="8" t="s">
        <v>520</v>
      </c>
      <c r="B12" s="8" t="s">
        <v>521</v>
      </c>
      <c r="C12" s="8" t="s">
        <v>522</v>
      </c>
      <c r="D12" s="8" t="s">
        <v>252</v>
      </c>
      <c r="E12" s="8" t="s">
        <v>523</v>
      </c>
      <c r="F12" s="8" t="s">
        <v>255</v>
      </c>
      <c r="G12" s="8" t="s">
        <v>507</v>
      </c>
      <c r="H12" s="8" t="s">
        <v>481</v>
      </c>
      <c r="I12" s="8" t="s">
        <v>606</v>
      </c>
      <c r="J12" s="8" t="s">
        <v>484</v>
      </c>
      <c r="K12" s="8" t="s">
        <v>605</v>
      </c>
      <c r="L12" s="8" t="s">
        <v>524</v>
      </c>
      <c r="M12" s="8"/>
    </row>
    <row r="13" customFormat="false" ht="15" hidden="false" customHeight="true" outlineLevel="0" collapsed="false">
      <c r="A13" s="8" t="s">
        <v>525</v>
      </c>
      <c r="B13" s="8" t="s">
        <v>526</v>
      </c>
      <c r="C13" s="8" t="s">
        <v>527</v>
      </c>
      <c r="D13" s="8" t="s">
        <v>242</v>
      </c>
      <c r="E13" s="8" t="s">
        <v>497</v>
      </c>
      <c r="F13" s="8" t="s">
        <v>255</v>
      </c>
      <c r="G13" s="8" t="s">
        <v>478</v>
      </c>
      <c r="H13" s="8" t="s">
        <v>481</v>
      </c>
      <c r="I13" s="8"/>
      <c r="J13" s="8" t="s">
        <v>484</v>
      </c>
      <c r="K13" s="8" t="s">
        <v>605</v>
      </c>
      <c r="L13" s="8" t="s">
        <v>528</v>
      </c>
      <c r="M13" s="8"/>
    </row>
    <row r="14" customFormat="false" ht="15" hidden="false" customHeight="true" outlineLevel="0" collapsed="false">
      <c r="A14" s="8" t="s">
        <v>529</v>
      </c>
      <c r="B14" s="8" t="s">
        <v>530</v>
      </c>
      <c r="C14" s="8" t="s">
        <v>527</v>
      </c>
      <c r="D14" s="8" t="s">
        <v>242</v>
      </c>
      <c r="E14" s="8" t="s">
        <v>497</v>
      </c>
      <c r="F14" s="8" t="s">
        <v>255</v>
      </c>
      <c r="G14" s="8" t="s">
        <v>478</v>
      </c>
      <c r="H14" s="8" t="s">
        <v>481</v>
      </c>
      <c r="I14" s="8"/>
      <c r="J14" s="8" t="s">
        <v>484</v>
      </c>
      <c r="K14" s="8" t="s">
        <v>605</v>
      </c>
      <c r="L14" s="8" t="s">
        <v>528</v>
      </c>
      <c r="M14" s="8"/>
    </row>
    <row r="15" customFormat="false" ht="15" hidden="false" customHeight="true" outlineLevel="0" collapsed="false">
      <c r="A15" s="8" t="s">
        <v>531</v>
      </c>
      <c r="B15" s="8" t="s">
        <v>532</v>
      </c>
      <c r="C15" s="8" t="s">
        <v>527</v>
      </c>
      <c r="D15" s="8" t="s">
        <v>252</v>
      </c>
      <c r="E15" s="8" t="s">
        <v>533</v>
      </c>
      <c r="F15" s="8" t="s">
        <v>255</v>
      </c>
      <c r="G15" s="8" t="s">
        <v>478</v>
      </c>
      <c r="H15" s="8" t="s">
        <v>481</v>
      </c>
      <c r="I15" s="8"/>
      <c r="J15" s="8" t="s">
        <v>484</v>
      </c>
      <c r="K15" s="8" t="s">
        <v>605</v>
      </c>
      <c r="L15" s="8" t="s">
        <v>534</v>
      </c>
      <c r="M15" s="8"/>
    </row>
    <row r="16" customFormat="false" ht="15" hidden="false" customHeight="true" outlineLevel="0" collapsed="false">
      <c r="A16" s="8" t="s">
        <v>535</v>
      </c>
      <c r="B16" s="8" t="s">
        <v>536</v>
      </c>
      <c r="C16" s="8" t="s">
        <v>527</v>
      </c>
      <c r="D16" s="8" t="s">
        <v>252</v>
      </c>
      <c r="E16" s="8" t="s">
        <v>537</v>
      </c>
      <c r="F16" s="8" t="s">
        <v>255</v>
      </c>
      <c r="G16" s="8" t="s">
        <v>507</v>
      </c>
      <c r="H16" s="8" t="s">
        <v>481</v>
      </c>
      <c r="I16" s="8"/>
      <c r="J16" s="8" t="s">
        <v>484</v>
      </c>
      <c r="K16" s="8" t="s">
        <v>605</v>
      </c>
      <c r="L16" s="8" t="s">
        <v>534</v>
      </c>
      <c r="M16" s="8"/>
    </row>
    <row r="17" customFormat="false" ht="15" hidden="false" customHeight="true" outlineLevel="0" collapsed="false">
      <c r="A17" s="8" t="s">
        <v>538</v>
      </c>
      <c r="B17" s="8" t="s">
        <v>539</v>
      </c>
      <c r="C17" s="8" t="s">
        <v>541</v>
      </c>
      <c r="D17" s="8" t="n">
        <v>3</v>
      </c>
      <c r="E17" s="8" t="s">
        <v>497</v>
      </c>
      <c r="F17" s="8" t="s">
        <v>255</v>
      </c>
      <c r="G17" s="8" t="s">
        <v>478</v>
      </c>
      <c r="H17" s="8" t="s">
        <v>540</v>
      </c>
      <c r="I17" s="8"/>
      <c r="J17" s="8" t="s">
        <v>484</v>
      </c>
      <c r="K17" s="8" t="s">
        <v>605</v>
      </c>
      <c r="L17" s="8" t="s">
        <v>542</v>
      </c>
      <c r="M17" s="8"/>
    </row>
    <row r="18" customFormat="false" ht="15" hidden="false" customHeight="true" outlineLevel="0" collapsed="false">
      <c r="A18" s="8" t="s">
        <v>544</v>
      </c>
      <c r="B18" s="8" t="s">
        <v>545</v>
      </c>
      <c r="C18" s="8" t="s">
        <v>546</v>
      </c>
      <c r="D18" s="8" t="s">
        <v>496</v>
      </c>
      <c r="E18" s="8" t="s">
        <v>497</v>
      </c>
      <c r="F18" s="8" t="s">
        <v>255</v>
      </c>
      <c r="G18" s="8" t="s">
        <v>478</v>
      </c>
      <c r="H18" s="8" t="s">
        <v>481</v>
      </c>
      <c r="I18" s="8"/>
      <c r="J18" s="8" t="s">
        <v>484</v>
      </c>
      <c r="K18" s="8" t="s">
        <v>605</v>
      </c>
      <c r="L18" s="8" t="s">
        <v>498</v>
      </c>
      <c r="M18" s="8"/>
    </row>
    <row r="19" customFormat="false" ht="23.25" hidden="false" customHeight="true" outlineLevel="0" collapsed="false">
      <c r="A19" s="8" t="s">
        <v>547</v>
      </c>
      <c r="B19" s="8" t="s">
        <v>548</v>
      </c>
      <c r="C19" s="8" t="s">
        <v>550</v>
      </c>
      <c r="D19" s="8" t="s">
        <v>257</v>
      </c>
      <c r="E19" s="8" t="s">
        <v>523</v>
      </c>
      <c r="F19" s="8" t="s">
        <v>260</v>
      </c>
      <c r="G19" s="8" t="s">
        <v>488</v>
      </c>
      <c r="H19" s="8" t="s">
        <v>481</v>
      </c>
      <c r="I19" s="8"/>
      <c r="J19" s="8" t="s">
        <v>484</v>
      </c>
      <c r="K19" s="8" t="s">
        <v>605</v>
      </c>
      <c r="L19" s="8" t="s">
        <v>551</v>
      </c>
      <c r="M19" s="8"/>
    </row>
    <row r="20" customFormat="false" ht="15" hidden="false" customHeight="true" outlineLevel="0" collapsed="false">
      <c r="A20" s="8" t="s">
        <v>552</v>
      </c>
      <c r="B20" s="8" t="s">
        <v>553</v>
      </c>
      <c r="C20" s="8" t="s">
        <v>550</v>
      </c>
      <c r="D20" s="8" t="s">
        <v>496</v>
      </c>
      <c r="E20" s="8" t="s">
        <v>595</v>
      </c>
      <c r="F20" s="8" t="s">
        <v>260</v>
      </c>
      <c r="G20" s="8" t="s">
        <v>507</v>
      </c>
      <c r="H20" s="8" t="s">
        <v>481</v>
      </c>
      <c r="I20" s="8"/>
      <c r="J20" s="8" t="s">
        <v>484</v>
      </c>
      <c r="K20" s="8" t="s">
        <v>605</v>
      </c>
      <c r="L20" s="8" t="s">
        <v>554</v>
      </c>
      <c r="M20" s="8"/>
    </row>
    <row r="21" customFormat="false" ht="15" hidden="false" customHeight="true" outlineLevel="0" collapsed="false">
      <c r="A21" s="8" t="s">
        <v>555</v>
      </c>
      <c r="B21" s="8" t="s">
        <v>556</v>
      </c>
      <c r="C21" s="8" t="s">
        <v>550</v>
      </c>
      <c r="D21" s="8" t="s">
        <v>496</v>
      </c>
      <c r="E21" s="8" t="s">
        <v>595</v>
      </c>
      <c r="F21" s="8" t="s">
        <v>260</v>
      </c>
      <c r="G21" s="8" t="s">
        <v>478</v>
      </c>
      <c r="H21" s="8" t="s">
        <v>481</v>
      </c>
      <c r="I21" s="8"/>
      <c r="J21" s="8" t="s">
        <v>484</v>
      </c>
      <c r="K21" s="8" t="s">
        <v>605</v>
      </c>
      <c r="L21" s="8" t="s">
        <v>557</v>
      </c>
      <c r="M21" s="8"/>
    </row>
    <row r="22" customFormat="false" ht="23.25" hidden="false" customHeight="true" outlineLevel="0" collapsed="false">
      <c r="A22" s="8" t="s">
        <v>558</v>
      </c>
      <c r="B22" s="8" t="s">
        <v>559</v>
      </c>
      <c r="C22" s="8" t="s">
        <v>550</v>
      </c>
      <c r="D22" s="8" t="s">
        <v>496</v>
      </c>
      <c r="E22" s="8" t="s">
        <v>497</v>
      </c>
      <c r="F22" s="8" t="s">
        <v>260</v>
      </c>
      <c r="G22" s="8" t="s">
        <v>478</v>
      </c>
      <c r="H22" s="8" t="s">
        <v>481</v>
      </c>
      <c r="I22" s="8"/>
      <c r="J22" s="8" t="s">
        <v>560</v>
      </c>
      <c r="K22" s="8" t="s">
        <v>605</v>
      </c>
      <c r="L22" s="8" t="s">
        <v>561</v>
      </c>
      <c r="M22" s="8"/>
    </row>
    <row r="23" customFormat="false" ht="23.25" hidden="false" customHeight="true" outlineLevel="0" collapsed="false">
      <c r="A23" s="8" t="s">
        <v>562</v>
      </c>
      <c r="B23" s="8" t="s">
        <v>563</v>
      </c>
      <c r="C23" s="8" t="s">
        <v>522</v>
      </c>
      <c r="D23" s="8" t="s">
        <v>257</v>
      </c>
      <c r="E23" s="8" t="s">
        <v>523</v>
      </c>
      <c r="F23" s="8" t="s">
        <v>260</v>
      </c>
      <c r="G23" s="8" t="s">
        <v>507</v>
      </c>
      <c r="H23" s="8" t="s">
        <v>481</v>
      </c>
      <c r="I23" s="8"/>
      <c r="J23" s="8" t="s">
        <v>560</v>
      </c>
      <c r="K23" s="8" t="s">
        <v>605</v>
      </c>
      <c r="L23" s="8" t="s">
        <v>564</v>
      </c>
      <c r="M23" s="8"/>
    </row>
    <row r="24" customFormat="false" ht="15" hidden="false" customHeight="true" outlineLevel="0" collapsed="false">
      <c r="A24" s="8" t="s">
        <v>565</v>
      </c>
      <c r="B24" s="8" t="s">
        <v>566</v>
      </c>
      <c r="C24" s="8" t="s">
        <v>522</v>
      </c>
      <c r="D24" s="8" t="s">
        <v>257</v>
      </c>
      <c r="E24" s="8" t="s">
        <v>523</v>
      </c>
      <c r="F24" s="8" t="s">
        <v>260</v>
      </c>
      <c r="G24" s="8" t="s">
        <v>488</v>
      </c>
      <c r="H24" s="8" t="s">
        <v>481</v>
      </c>
      <c r="I24" s="8"/>
      <c r="J24" s="8" t="s">
        <v>484</v>
      </c>
      <c r="K24" s="8" t="s">
        <v>605</v>
      </c>
      <c r="L24" s="8" t="s">
        <v>567</v>
      </c>
      <c r="M24" s="8"/>
    </row>
    <row r="25" customFormat="false" ht="15" hidden="false" customHeight="true" outlineLevel="0" collapsed="false">
      <c r="A25" s="8" t="s">
        <v>568</v>
      </c>
      <c r="B25" s="8" t="s">
        <v>569</v>
      </c>
      <c r="C25" s="8" t="s">
        <v>550</v>
      </c>
      <c r="D25" s="8" t="s">
        <v>496</v>
      </c>
      <c r="E25" s="8" t="s">
        <v>497</v>
      </c>
      <c r="F25" s="8" t="s">
        <v>260</v>
      </c>
      <c r="G25" s="8" t="s">
        <v>488</v>
      </c>
      <c r="H25" s="8" t="s">
        <v>570</v>
      </c>
      <c r="I25" s="8"/>
      <c r="J25" s="8" t="s">
        <v>484</v>
      </c>
      <c r="K25" s="8" t="s">
        <v>605</v>
      </c>
      <c r="L25" s="8" t="s">
        <v>571</v>
      </c>
      <c r="M25" s="8"/>
    </row>
    <row r="26" customFormat="false" ht="15" hidden="false" customHeight="true" outlineLevel="0" collapsed="false">
      <c r="A26" s="8" t="s">
        <v>572</v>
      </c>
      <c r="B26" s="8" t="s">
        <v>573</v>
      </c>
      <c r="C26" s="8" t="s">
        <v>574</v>
      </c>
      <c r="D26" s="8" t="s">
        <v>261</v>
      </c>
      <c r="E26" s="8" t="s">
        <v>598</v>
      </c>
      <c r="F26" s="8" t="s">
        <v>263</v>
      </c>
      <c r="G26" s="8" t="s">
        <v>488</v>
      </c>
      <c r="H26" s="8" t="s">
        <v>481</v>
      </c>
      <c r="I26" s="8"/>
      <c r="J26" s="8" t="s">
        <v>484</v>
      </c>
      <c r="K26" s="8" t="s">
        <v>605</v>
      </c>
      <c r="L26" s="8" t="s">
        <v>575</v>
      </c>
      <c r="M26" s="8"/>
    </row>
    <row r="27" customFormat="false" ht="15" hidden="false" customHeight="true" outlineLevel="0" collapsed="false">
      <c r="A27" s="8" t="s">
        <v>576</v>
      </c>
      <c r="B27" s="8" t="s">
        <v>577</v>
      </c>
      <c r="C27" s="8" t="s">
        <v>574</v>
      </c>
      <c r="D27" s="8" t="s">
        <v>496</v>
      </c>
      <c r="E27" s="8" t="s">
        <v>598</v>
      </c>
      <c r="F27" s="8" t="s">
        <v>263</v>
      </c>
      <c r="G27" s="8" t="s">
        <v>488</v>
      </c>
      <c r="H27" s="8" t="s">
        <v>481</v>
      </c>
      <c r="I27" s="8"/>
      <c r="J27" s="8" t="s">
        <v>484</v>
      </c>
      <c r="K27" s="8" t="s">
        <v>605</v>
      </c>
      <c r="L27" s="8" t="s">
        <v>578</v>
      </c>
      <c r="M27" s="8"/>
    </row>
    <row r="28" customFormat="false" ht="15" hidden="false" customHeight="true" outlineLevel="0" collapsed="false">
      <c r="A28" s="8" t="s">
        <v>579</v>
      </c>
      <c r="B28" s="8" t="s">
        <v>580</v>
      </c>
      <c r="C28" s="8" t="s">
        <v>581</v>
      </c>
      <c r="D28" s="8" t="s">
        <v>261</v>
      </c>
      <c r="E28" s="8" t="s">
        <v>598</v>
      </c>
      <c r="F28" s="8" t="s">
        <v>263</v>
      </c>
      <c r="G28" s="8" t="s">
        <v>488</v>
      </c>
      <c r="H28" s="8" t="s">
        <v>481</v>
      </c>
      <c r="I28" s="8"/>
      <c r="J28" s="8" t="s">
        <v>484</v>
      </c>
      <c r="K28" s="8" t="s">
        <v>605</v>
      </c>
      <c r="L28" s="8" t="s">
        <v>582</v>
      </c>
      <c r="M28" s="8"/>
    </row>
    <row r="29" customFormat="false" ht="15" hidden="false" customHeight="true" outlineLevel="0" collapsed="false">
      <c r="A29" s="8" t="s">
        <v>583</v>
      </c>
      <c r="B29" s="8" t="s">
        <v>584</v>
      </c>
      <c r="C29" s="8" t="s">
        <v>541</v>
      </c>
      <c r="D29" s="8" t="s">
        <v>496</v>
      </c>
      <c r="E29" s="8" t="s">
        <v>598</v>
      </c>
      <c r="F29" s="8" t="s">
        <v>263</v>
      </c>
      <c r="G29" s="8" t="s">
        <v>488</v>
      </c>
      <c r="H29" s="8" t="s">
        <v>481</v>
      </c>
      <c r="I29" s="8"/>
      <c r="J29" s="8" t="s">
        <v>484</v>
      </c>
      <c r="K29" s="8" t="s">
        <v>605</v>
      </c>
      <c r="L29" s="8" t="s">
        <v>578</v>
      </c>
      <c r="M29" s="8"/>
    </row>
    <row r="30" customFormat="false" ht="15" hidden="false" customHeight="true" outlineLevel="0" collapsed="false">
      <c r="A30" s="8" t="s">
        <v>585</v>
      </c>
      <c r="B30" s="8" t="s">
        <v>586</v>
      </c>
      <c r="C30" s="8" t="s">
        <v>522</v>
      </c>
      <c r="D30" s="8" t="s">
        <v>261</v>
      </c>
      <c r="E30" s="8" t="s">
        <v>523</v>
      </c>
      <c r="F30" s="8" t="s">
        <v>263</v>
      </c>
      <c r="G30" s="8" t="s">
        <v>488</v>
      </c>
      <c r="H30" s="8" t="s">
        <v>481</v>
      </c>
      <c r="I30" s="8"/>
      <c r="J30" s="8" t="s">
        <v>484</v>
      </c>
      <c r="K30" s="8" t="s">
        <v>605</v>
      </c>
      <c r="L30" s="8" t="s">
        <v>587</v>
      </c>
      <c r="M30" s="8"/>
    </row>
    <row r="31" customFormat="false" ht="15" hidden="false" customHeight="true" outlineLevel="0" collapsed="false">
      <c r="A31" s="8" t="s">
        <v>588</v>
      </c>
      <c r="B31" s="8" t="s">
        <v>589</v>
      </c>
      <c r="C31" s="8" t="s">
        <v>574</v>
      </c>
      <c r="D31" s="8" t="s">
        <v>261</v>
      </c>
      <c r="E31" s="8" t="s">
        <v>598</v>
      </c>
      <c r="F31" s="8" t="s">
        <v>263</v>
      </c>
      <c r="G31" s="8" t="s">
        <v>590</v>
      </c>
      <c r="H31" s="8" t="s">
        <v>481</v>
      </c>
      <c r="I31" s="8"/>
      <c r="J31" s="8" t="s">
        <v>484</v>
      </c>
      <c r="K31" s="8" t="s">
        <v>605</v>
      </c>
      <c r="L31" s="8" t="s">
        <v>591</v>
      </c>
      <c r="M31" s="8"/>
    </row>
    <row r="32" customFormat="false" ht="23.85" hidden="false" customHeight="false" outlineLevel="0" collapsed="false">
      <c r="A32" s="10" t="s">
        <v>607</v>
      </c>
      <c r="B32" s="10" t="s">
        <v>608</v>
      </c>
      <c r="C32" s="10" t="s">
        <v>522</v>
      </c>
      <c r="D32" s="10" t="s">
        <v>496</v>
      </c>
      <c r="E32" s="10" t="s">
        <v>497</v>
      </c>
      <c r="F32" s="10" t="s">
        <v>260</v>
      </c>
      <c r="G32" s="10" t="s">
        <v>488</v>
      </c>
      <c r="H32" s="10" t="s">
        <v>481</v>
      </c>
      <c r="I32" s="10"/>
      <c r="J32" s="10" t="s">
        <v>560</v>
      </c>
      <c r="K32" s="10" t="s">
        <v>609</v>
      </c>
      <c r="L32" s="10" t="s">
        <v>610</v>
      </c>
      <c r="M32" s="10" t="s">
        <v>611</v>
      </c>
    </row>
    <row r="33" customFormat="false" ht="23.85" hidden="false" customHeight="false" outlineLevel="0" collapsed="false">
      <c r="A33" s="10" t="s">
        <v>612</v>
      </c>
      <c r="B33" s="10" t="s">
        <v>613</v>
      </c>
      <c r="C33" s="10" t="s">
        <v>522</v>
      </c>
      <c r="D33" s="10" t="s">
        <v>496</v>
      </c>
      <c r="E33" s="10" t="s">
        <v>497</v>
      </c>
      <c r="F33" s="10" t="s">
        <v>260</v>
      </c>
      <c r="G33" s="10" t="s">
        <v>488</v>
      </c>
      <c r="H33" s="10" t="s">
        <v>481</v>
      </c>
      <c r="I33" s="10"/>
      <c r="J33" s="10" t="s">
        <v>560</v>
      </c>
      <c r="K33" s="10" t="s">
        <v>609</v>
      </c>
      <c r="L33" s="10" t="s">
        <v>614</v>
      </c>
      <c r="M33" s="10" t="s">
        <v>611</v>
      </c>
    </row>
    <row r="34" customFormat="false" ht="23.85" hidden="false" customHeight="false" outlineLevel="0" collapsed="false">
      <c r="A34" s="10" t="s">
        <v>615</v>
      </c>
      <c r="B34" s="10" t="s">
        <v>616</v>
      </c>
      <c r="C34" s="10" t="s">
        <v>574</v>
      </c>
      <c r="D34" s="10" t="s">
        <v>496</v>
      </c>
      <c r="E34" s="10" t="s">
        <v>497</v>
      </c>
      <c r="F34" s="10" t="s">
        <v>263</v>
      </c>
      <c r="G34" s="10" t="s">
        <v>488</v>
      </c>
      <c r="H34" s="10" t="s">
        <v>481</v>
      </c>
      <c r="I34" s="10"/>
      <c r="J34" s="10" t="s">
        <v>560</v>
      </c>
      <c r="K34" s="10" t="s">
        <v>609</v>
      </c>
      <c r="L34" s="10" t="s">
        <v>617</v>
      </c>
      <c r="M34" s="10" t="s">
        <v>611</v>
      </c>
    </row>
    <row r="35" customFormat="false" ht="23.85" hidden="false" customHeight="false" outlineLevel="0" collapsed="false">
      <c r="A35" s="10" t="s">
        <v>618</v>
      </c>
      <c r="B35" s="10" t="s">
        <v>619</v>
      </c>
      <c r="C35" s="10" t="s">
        <v>574</v>
      </c>
      <c r="D35" s="10" t="s">
        <v>496</v>
      </c>
      <c r="E35" s="10" t="s">
        <v>497</v>
      </c>
      <c r="F35" s="10" t="s">
        <v>263</v>
      </c>
      <c r="G35" s="10" t="s">
        <v>590</v>
      </c>
      <c r="H35" s="10" t="s">
        <v>481</v>
      </c>
      <c r="I35" s="10"/>
      <c r="J35" s="10" t="s">
        <v>560</v>
      </c>
      <c r="K35" s="10" t="s">
        <v>609</v>
      </c>
      <c r="L35" s="10" t="s">
        <v>620</v>
      </c>
      <c r="M35" s="10" t="s">
        <v>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44"/>
    <col collapsed="false" customWidth="true" hidden="false" outlineLevel="0" max="4" min="4" style="1" width="12"/>
    <col collapsed="false" customWidth="true" hidden="false" outlineLevel="0" max="5" min="5" style="1" width="40"/>
    <col collapsed="false" customWidth="true" hidden="false" outlineLevel="0" max="6" min="6" style="1" width="62"/>
    <col collapsed="false" customWidth="true" hidden="false" outlineLevel="0" max="7" min="7" style="1" width="12"/>
    <col collapsed="false" customWidth="true" hidden="false" outlineLevel="0" max="8" min="8" style="1" width="50"/>
  </cols>
  <sheetData>
    <row r="1" customFormat="false" ht="23.25" hidden="false" customHeight="true" outlineLevel="0" collapsed="false">
      <c r="A1" s="7" t="s">
        <v>427</v>
      </c>
      <c r="B1" s="7" t="s">
        <v>621</v>
      </c>
      <c r="C1" s="7" t="s">
        <v>622</v>
      </c>
      <c r="D1" s="7" t="s">
        <v>623</v>
      </c>
      <c r="E1" s="7" t="s">
        <v>624</v>
      </c>
      <c r="F1" s="7" t="s">
        <v>625</v>
      </c>
      <c r="G1" s="7" t="s">
        <v>474</v>
      </c>
      <c r="H1" s="7" t="s">
        <v>367</v>
      </c>
    </row>
    <row r="2" customFormat="false" ht="23.25" hidden="false" customHeight="true" outlineLevel="0" collapsed="false">
      <c r="A2" s="8" t="s">
        <v>255</v>
      </c>
      <c r="B2" s="8" t="s">
        <v>626</v>
      </c>
      <c r="C2" s="8" t="s">
        <v>627</v>
      </c>
      <c r="D2" s="8" t="s">
        <v>369</v>
      </c>
      <c r="E2" s="8" t="s">
        <v>628</v>
      </c>
      <c r="F2" s="8" t="s">
        <v>629</v>
      </c>
      <c r="G2" s="8" t="s">
        <v>560</v>
      </c>
      <c r="H2" s="8" t="s">
        <v>630</v>
      </c>
    </row>
    <row r="3" customFormat="false" ht="34.5" hidden="false" customHeight="true" outlineLevel="0" collapsed="false">
      <c r="A3" s="8" t="s">
        <v>260</v>
      </c>
      <c r="B3" s="8" t="s">
        <v>626</v>
      </c>
      <c r="C3" s="8" t="s">
        <v>631</v>
      </c>
      <c r="D3" s="8" t="s">
        <v>632</v>
      </c>
      <c r="E3" s="8" t="s">
        <v>633</v>
      </c>
      <c r="F3" s="8" t="s">
        <v>634</v>
      </c>
      <c r="G3" s="8" t="s">
        <v>560</v>
      </c>
      <c r="H3" s="8" t="s">
        <v>635</v>
      </c>
    </row>
    <row r="4" customFormat="false" ht="34.5" hidden="false" customHeight="true" outlineLevel="0" collapsed="false">
      <c r="A4" s="8" t="s">
        <v>263</v>
      </c>
      <c r="B4" s="8" t="s">
        <v>636</v>
      </c>
      <c r="C4" s="8" t="s">
        <v>637</v>
      </c>
      <c r="D4" s="8" t="s">
        <v>638</v>
      </c>
      <c r="E4" s="8" t="s">
        <v>639</v>
      </c>
      <c r="F4" s="8" t="s">
        <v>640</v>
      </c>
      <c r="G4" s="8" t="s">
        <v>560</v>
      </c>
      <c r="H4" s="8" t="s">
        <v>641</v>
      </c>
    </row>
    <row r="5" customFormat="false" ht="34.5" hidden="false" customHeight="true" outlineLevel="0" collapsed="false">
      <c r="A5" s="8" t="s">
        <v>263</v>
      </c>
      <c r="B5" s="8" t="s">
        <v>642</v>
      </c>
      <c r="C5" s="8" t="s">
        <v>643</v>
      </c>
      <c r="D5" s="8" t="s">
        <v>393</v>
      </c>
      <c r="E5" s="8" t="s">
        <v>644</v>
      </c>
      <c r="F5" s="8" t="s">
        <v>645</v>
      </c>
      <c r="G5" s="8" t="s">
        <v>484</v>
      </c>
      <c r="H5" s="8" t="s">
        <v>646</v>
      </c>
    </row>
    <row r="6" customFormat="false" ht="23.25" hidden="false" customHeight="true" outlineLevel="0" collapsed="false">
      <c r="A6" s="8" t="s">
        <v>442</v>
      </c>
      <c r="B6" s="8" t="s">
        <v>626</v>
      </c>
      <c r="C6" s="8" t="s">
        <v>647</v>
      </c>
      <c r="D6" s="8" t="s">
        <v>369</v>
      </c>
      <c r="E6" s="8" t="s">
        <v>648</v>
      </c>
      <c r="F6" s="8" t="s">
        <v>649</v>
      </c>
      <c r="G6" s="8" t="s">
        <v>560</v>
      </c>
      <c r="H6" s="8" t="s">
        <v>650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60"/>
    <col collapsed="false" customWidth="true" hidden="false" outlineLevel="0" max="3" min="3" style="1" width="22"/>
    <col collapsed="false" customWidth="true" hidden="false" outlineLevel="0" max="4" min="4" style="1" width="70"/>
    <col collapsed="false" customWidth="true" hidden="false" outlineLevel="0" max="5" min="5" style="1" width="32"/>
  </cols>
  <sheetData>
    <row r="1" customFormat="false" ht="15" hidden="false" customHeight="true" outlineLevel="0" collapsed="false">
      <c r="A1" s="7" t="s">
        <v>651</v>
      </c>
      <c r="B1" s="7" t="s">
        <v>652</v>
      </c>
      <c r="C1" s="7" t="s">
        <v>265</v>
      </c>
      <c r="D1" s="7" t="s">
        <v>653</v>
      </c>
      <c r="E1" s="7" t="s">
        <v>241</v>
      </c>
    </row>
    <row r="2" customFormat="false" ht="15" hidden="false" customHeight="true" outlineLevel="0" collapsed="false">
      <c r="A2" s="8" t="s">
        <v>654</v>
      </c>
      <c r="B2" s="8" t="s">
        <v>655</v>
      </c>
      <c r="C2" s="8" t="s">
        <v>656</v>
      </c>
      <c r="D2" s="8" t="s">
        <v>657</v>
      </c>
      <c r="E2" s="8" t="s">
        <v>296</v>
      </c>
    </row>
    <row r="3" customFormat="false" ht="15" hidden="false" customHeight="true" outlineLevel="0" collapsed="false">
      <c r="A3" s="8" t="s">
        <v>658</v>
      </c>
      <c r="B3" s="8" t="s">
        <v>659</v>
      </c>
      <c r="C3" s="8" t="s">
        <v>656</v>
      </c>
      <c r="D3" s="8" t="s">
        <v>660</v>
      </c>
      <c r="E3" s="8" t="s">
        <v>296</v>
      </c>
    </row>
    <row r="4" customFormat="false" ht="15" hidden="false" customHeight="true" outlineLevel="0" collapsed="false">
      <c r="A4" s="8" t="s">
        <v>661</v>
      </c>
      <c r="B4" s="8" t="s">
        <v>662</v>
      </c>
      <c r="C4" s="8" t="s">
        <v>656</v>
      </c>
      <c r="D4" s="8" t="s">
        <v>663</v>
      </c>
      <c r="E4" s="8" t="s">
        <v>296</v>
      </c>
    </row>
    <row r="5" customFormat="false" ht="23.25" hidden="false" customHeight="true" outlineLevel="0" collapsed="false">
      <c r="A5" s="8" t="s">
        <v>664</v>
      </c>
      <c r="B5" s="8" t="s">
        <v>665</v>
      </c>
      <c r="C5" s="8" t="s">
        <v>666</v>
      </c>
      <c r="D5" s="8" t="s">
        <v>667</v>
      </c>
      <c r="E5" s="8" t="s">
        <v>668</v>
      </c>
    </row>
    <row r="6" customFormat="false" ht="23.25" hidden="false" customHeight="true" outlineLevel="0" collapsed="false">
      <c r="A6" s="8" t="s">
        <v>669</v>
      </c>
      <c r="B6" s="8" t="s">
        <v>670</v>
      </c>
      <c r="C6" s="8" t="s">
        <v>656</v>
      </c>
      <c r="D6" s="8" t="s">
        <v>671</v>
      </c>
      <c r="E6" s="8" t="s">
        <v>672</v>
      </c>
    </row>
    <row r="7" customFormat="false" ht="15" hidden="false" customHeight="true" outlineLevel="0" collapsed="false">
      <c r="A7" s="8" t="s">
        <v>673</v>
      </c>
      <c r="B7" s="8" t="s">
        <v>674</v>
      </c>
      <c r="C7" s="8" t="s">
        <v>656</v>
      </c>
      <c r="D7" s="8" t="s">
        <v>675</v>
      </c>
      <c r="E7" s="8" t="s">
        <v>676</v>
      </c>
    </row>
    <row r="8" customFormat="false" ht="15" hidden="false" customHeight="true" outlineLevel="0" collapsed="false">
      <c r="A8" s="8" t="s">
        <v>677</v>
      </c>
      <c r="B8" s="8" t="s">
        <v>678</v>
      </c>
      <c r="C8" s="8" t="s">
        <v>656</v>
      </c>
      <c r="D8" s="8" t="s">
        <v>679</v>
      </c>
      <c r="E8" s="8" t="s">
        <v>296</v>
      </c>
    </row>
    <row r="9" customFormat="false" ht="15" hidden="false" customHeight="true" outlineLevel="0" collapsed="false">
      <c r="A9" s="8" t="s">
        <v>680</v>
      </c>
      <c r="B9" s="8" t="s">
        <v>681</v>
      </c>
      <c r="C9" s="8" t="s">
        <v>656</v>
      </c>
      <c r="D9" s="8" t="s">
        <v>682</v>
      </c>
      <c r="E9" s="8" t="s">
        <v>308</v>
      </c>
    </row>
    <row r="10" customFormat="false" ht="15" hidden="false" customHeight="true" outlineLevel="0" collapsed="false">
      <c r="A10" s="8" t="s">
        <v>683</v>
      </c>
      <c r="B10" s="8" t="s">
        <v>684</v>
      </c>
      <c r="C10" s="8" t="s">
        <v>656</v>
      </c>
      <c r="D10" s="8" t="s">
        <v>685</v>
      </c>
      <c r="E10" s="8" t="s">
        <v>686</v>
      </c>
    </row>
    <row r="11" customFormat="false" ht="15" hidden="false" customHeight="true" outlineLevel="0" collapsed="false">
      <c r="A11" s="8" t="s">
        <v>687</v>
      </c>
      <c r="B11" s="8" t="s">
        <v>688</v>
      </c>
      <c r="C11" s="8" t="s">
        <v>689</v>
      </c>
      <c r="D11" s="8" t="s">
        <v>690</v>
      </c>
      <c r="E11" s="8" t="s">
        <v>312</v>
      </c>
    </row>
    <row r="12" customFormat="false" ht="15" hidden="false" customHeight="true" outlineLevel="0" collapsed="false">
      <c r="A12" s="8" t="s">
        <v>691</v>
      </c>
      <c r="B12" s="8" t="s">
        <v>692</v>
      </c>
      <c r="C12" s="8" t="s">
        <v>689</v>
      </c>
      <c r="D12" s="8" t="s">
        <v>693</v>
      </c>
      <c r="E12" s="8" t="s">
        <v>339</v>
      </c>
    </row>
    <row r="13" customFormat="false" ht="15" hidden="false" customHeight="true" outlineLevel="0" collapsed="false">
      <c r="A13" s="8" t="s">
        <v>694</v>
      </c>
      <c r="B13" s="8" t="s">
        <v>695</v>
      </c>
      <c r="C13" s="8" t="s">
        <v>696</v>
      </c>
      <c r="D13" s="8" t="s">
        <v>697</v>
      </c>
      <c r="E13" s="8" t="s">
        <v>698</v>
      </c>
    </row>
    <row r="14" customFormat="false" ht="15" hidden="false" customHeight="true" outlineLevel="0" collapsed="false">
      <c r="A14" s="8" t="s">
        <v>699</v>
      </c>
      <c r="B14" s="8" t="s">
        <v>700</v>
      </c>
      <c r="C14" s="8" t="s">
        <v>696</v>
      </c>
      <c r="D14" s="8" t="s">
        <v>701</v>
      </c>
      <c r="E14" s="8" t="s">
        <v>316</v>
      </c>
    </row>
    <row r="15" customFormat="false" ht="15" hidden="false" customHeight="true" outlineLevel="0" collapsed="false">
      <c r="A15" s="8" t="s">
        <v>702</v>
      </c>
      <c r="B15" s="8" t="s">
        <v>703</v>
      </c>
      <c r="C15" s="8" t="s">
        <v>696</v>
      </c>
      <c r="D15" s="8" t="s">
        <v>704</v>
      </c>
      <c r="E15" s="8" t="s">
        <v>312</v>
      </c>
    </row>
    <row r="16" customFormat="false" ht="15" hidden="false" customHeight="true" outlineLevel="0" collapsed="false">
      <c r="A16" s="8" t="s">
        <v>705</v>
      </c>
      <c r="B16" s="8" t="s">
        <v>706</v>
      </c>
      <c r="C16" s="8" t="s">
        <v>707</v>
      </c>
      <c r="D16" s="8" t="s">
        <v>708</v>
      </c>
      <c r="E16" s="8" t="s">
        <v>312</v>
      </c>
    </row>
    <row r="17" customFormat="false" ht="15" hidden="false" customHeight="true" outlineLevel="0" collapsed="false">
      <c r="A17" s="8" t="s">
        <v>709</v>
      </c>
      <c r="B17" s="8" t="s">
        <v>710</v>
      </c>
      <c r="C17" s="8" t="s">
        <v>707</v>
      </c>
      <c r="D17" s="8" t="s">
        <v>711</v>
      </c>
      <c r="E17" s="8" t="s">
        <v>312</v>
      </c>
    </row>
    <row r="18" customFormat="false" ht="34.5" hidden="false" customHeight="true" outlineLevel="0" collapsed="false">
      <c r="A18" s="8" t="s">
        <v>712</v>
      </c>
      <c r="B18" s="8" t="s">
        <v>713</v>
      </c>
      <c r="C18" s="8" t="s">
        <v>656</v>
      </c>
      <c r="D18" s="8" t="s">
        <v>714</v>
      </c>
      <c r="E18" s="8" t="s">
        <v>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0"/>
    <col collapsed="false" customWidth="true" hidden="false" outlineLevel="0" max="3" min="3" style="1" width="44"/>
    <col collapsed="false" customWidth="true" hidden="false" outlineLevel="0" max="4" min="4" style="1" width="12"/>
    <col collapsed="false" customWidth="true" hidden="false" outlineLevel="0" max="5" min="5" style="1" width="60"/>
    <col collapsed="false" customWidth="true" hidden="false" outlineLevel="0" max="6" min="6" style="1" width="52"/>
    <col collapsed="false" customWidth="true" hidden="false" outlineLevel="0" max="7" min="7" style="1" width="22"/>
    <col collapsed="false" customWidth="true" hidden="false" outlineLevel="0" max="8" min="8" style="1" width="20"/>
    <col collapsed="false" customWidth="true" hidden="false" outlineLevel="0" max="9" min="9" style="1" width="80"/>
  </cols>
  <sheetData>
    <row r="1" customFormat="false" ht="15" hidden="false" customHeight="true" outlineLevel="0" collapsed="false">
      <c r="A1" s="7" t="s">
        <v>716</v>
      </c>
      <c r="B1" s="7" t="s">
        <v>652</v>
      </c>
      <c r="C1" s="7" t="s">
        <v>717</v>
      </c>
      <c r="D1" s="7" t="s">
        <v>718</v>
      </c>
      <c r="E1" s="7" t="s">
        <v>719</v>
      </c>
      <c r="F1" s="7" t="s">
        <v>720</v>
      </c>
      <c r="G1" s="7" t="s">
        <v>241</v>
      </c>
      <c r="H1" s="7" t="s">
        <v>721</v>
      </c>
      <c r="I1" s="7" t="s">
        <v>722</v>
      </c>
    </row>
    <row r="2" customFormat="false" ht="57" hidden="false" customHeight="true" outlineLevel="0" collapsed="false">
      <c r="A2" s="8" t="s">
        <v>723</v>
      </c>
      <c r="B2" s="8" t="s">
        <v>724</v>
      </c>
      <c r="C2" s="8" t="s">
        <v>725</v>
      </c>
      <c r="D2" s="8" t="s">
        <v>726</v>
      </c>
      <c r="E2" s="8" t="s">
        <v>727</v>
      </c>
      <c r="F2" s="8" t="s">
        <v>728</v>
      </c>
      <c r="G2" s="8" t="s">
        <v>316</v>
      </c>
      <c r="H2" s="11"/>
      <c r="I2" s="8" t="s">
        <v>729</v>
      </c>
    </row>
    <row r="3" customFormat="false" ht="31.5" hidden="false" customHeight="true" outlineLevel="0" collapsed="false">
      <c r="A3" s="8" t="s">
        <v>730</v>
      </c>
      <c r="B3" s="8" t="s">
        <v>731</v>
      </c>
      <c r="C3" s="8" t="s">
        <v>732</v>
      </c>
      <c r="D3" s="8" t="s">
        <v>726</v>
      </c>
      <c r="E3" s="8" t="s">
        <v>733</v>
      </c>
      <c r="F3" s="8" t="s">
        <v>728</v>
      </c>
      <c r="G3" s="8" t="s">
        <v>312</v>
      </c>
      <c r="H3" s="11"/>
      <c r="I3" s="8" t="s">
        <v>734</v>
      </c>
    </row>
    <row r="4" customFormat="false" ht="69.75" hidden="false" customHeight="true" outlineLevel="0" collapsed="false">
      <c r="A4" s="8" t="s">
        <v>735</v>
      </c>
      <c r="B4" s="8" t="s">
        <v>736</v>
      </c>
      <c r="C4" s="8" t="s">
        <v>725</v>
      </c>
      <c r="D4" s="8" t="s">
        <v>737</v>
      </c>
      <c r="E4" s="8" t="s">
        <v>738</v>
      </c>
      <c r="F4" s="8" t="s">
        <v>739</v>
      </c>
      <c r="G4" s="8" t="s">
        <v>312</v>
      </c>
      <c r="H4" s="11"/>
      <c r="I4" s="8" t="s">
        <v>740</v>
      </c>
    </row>
    <row r="5" customFormat="false" ht="57" hidden="false" customHeight="true" outlineLevel="0" collapsed="false">
      <c r="A5" s="8" t="s">
        <v>741</v>
      </c>
      <c r="B5" s="8" t="s">
        <v>742</v>
      </c>
      <c r="C5" s="8" t="s">
        <v>725</v>
      </c>
      <c r="D5" s="8" t="s">
        <v>726</v>
      </c>
      <c r="E5" s="8" t="s">
        <v>743</v>
      </c>
      <c r="F5" s="8" t="s">
        <v>744</v>
      </c>
      <c r="G5" s="8" t="s">
        <v>745</v>
      </c>
      <c r="H5" s="11"/>
      <c r="I5" s="8" t="s">
        <v>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
    <col collapsed="false" customWidth="true" hidden="false" outlineLevel="0" max="3" min="3" style="1" width="62"/>
    <col collapsed="false" customWidth="true" hidden="false" outlineLevel="0" max="4" min="4" style="1" width="18"/>
    <col collapsed="false" customWidth="true" hidden="false" outlineLevel="0" max="5" min="5" style="1" width="13"/>
    <col collapsed="false" customWidth="true" hidden="false" outlineLevel="0" max="6" min="6" style="1" width="64"/>
  </cols>
  <sheetData>
    <row r="1" customFormat="false" ht="34.5" hidden="false" customHeight="true" outlineLevel="0" collapsed="false">
      <c r="A1" s="7" t="s">
        <v>427</v>
      </c>
      <c r="B1" s="7" t="s">
        <v>651</v>
      </c>
      <c r="C1" s="7" t="s">
        <v>652</v>
      </c>
      <c r="D1" s="7" t="s">
        <v>747</v>
      </c>
      <c r="E1" s="7" t="s">
        <v>748</v>
      </c>
      <c r="F1" s="7" t="s">
        <v>720</v>
      </c>
    </row>
    <row r="2" customFormat="false" ht="15" hidden="false" customHeight="true" outlineLevel="0" collapsed="false">
      <c r="A2" s="8" t="s">
        <v>255</v>
      </c>
      <c r="B2" s="8" t="s">
        <v>664</v>
      </c>
      <c r="C2" s="8" t="str">
        <f aca="false">IFERROR(INDEX(Actions!$B$2:$B$60,MATCH(B2,Actions!$A$2:$A$60,0)),INDEX(Contraindicated!$B$2:$B$60,MATCH(B2,Contraindicated!$A$2:$A$60,0)))</f>
        <v>IM epinephrine (adrenaline), mid-anterolateral thigh</v>
      </c>
      <c r="D2" s="8" t="s">
        <v>749</v>
      </c>
      <c r="E2" s="8" t="s">
        <v>369</v>
      </c>
      <c r="F2" s="8" t="s">
        <v>750</v>
      </c>
    </row>
    <row r="3" customFormat="false" ht="44.25" hidden="false" customHeight="true" outlineLevel="0" collapsed="false">
      <c r="A3" s="8" t="s">
        <v>255</v>
      </c>
      <c r="B3" s="8" t="s">
        <v>673</v>
      </c>
      <c r="C3" s="8" t="str">
        <f aca="false">IFERROR(INDEX(Actions!$B$2:$B$60,MATCH(B3,Actions!$A$2:$A$60,0)),INDEX(Contraindicated!$B$2:$B$60,MATCH(B3,Contraindicated!$A$2:$A$60,0)))</f>
        <v>High-flow oxygen, preferably 100% via non-rebreather mask</v>
      </c>
      <c r="D3" s="8" t="s">
        <v>751</v>
      </c>
      <c r="E3" s="8" t="s">
        <v>393</v>
      </c>
      <c r="F3" s="8" t="s">
        <v>752</v>
      </c>
    </row>
    <row r="4" customFormat="false" ht="15" hidden="false" customHeight="true" outlineLevel="0" collapsed="false">
      <c r="A4" s="8" t="s">
        <v>255</v>
      </c>
      <c r="B4" s="8" t="s">
        <v>654</v>
      </c>
      <c r="C4" s="8" t="str">
        <f aca="false">IFERROR(INDEX(Actions!$B$2:$B$60,MATCH(B4,Actions!$A$2:$A$60,0)),INDEX(Contraindicated!$B$2:$B$60,MATCH(B4,Contraindicated!$A$2:$A$60,0)))</f>
        <v>Remove/stop trigger if possible (e.g., stop IV drug or agent)</v>
      </c>
      <c r="D4" s="8" t="s">
        <v>751</v>
      </c>
      <c r="E4" s="8" t="s">
        <v>393</v>
      </c>
      <c r="F4" s="8"/>
    </row>
    <row r="5" customFormat="false" ht="15" hidden="false" customHeight="true" outlineLevel="0" collapsed="false">
      <c r="A5" s="8" t="s">
        <v>255</v>
      </c>
      <c r="B5" s="8" t="s">
        <v>658</v>
      </c>
      <c r="C5" s="8" t="str">
        <f aca="false">IFERROR(INDEX(Actions!$B$2:$B$60,MATCH(B5,Actions!$A$2:$A$60,0)),INDEX(Contraindicated!$B$2:$B$60,MATCH(B5,Contraindicated!$A$2:$A$60,0)))</f>
        <v>Assess airway, breathing, circulation, mental status, skin, weight</v>
      </c>
      <c r="D5" s="8" t="s">
        <v>751</v>
      </c>
      <c r="E5" s="8" t="s">
        <v>393</v>
      </c>
      <c r="F5" s="8"/>
    </row>
    <row r="6" customFormat="false" ht="15" hidden="false" customHeight="true" outlineLevel="0" collapsed="false">
      <c r="A6" s="8" t="s">
        <v>255</v>
      </c>
      <c r="B6" s="8" t="s">
        <v>661</v>
      </c>
      <c r="C6" s="8" t="str">
        <f aca="false">IFERROR(INDEX(Actions!$B$2:$B$60,MATCH(B6,Actions!$A$2:$A$60,0)),INDEX(Contraindicated!$B$2:$B$60,MATCH(B6,Contraindicated!$A$2:$A$60,0)))</f>
        <v>Call for help (resuscitation team / emergency services)</v>
      </c>
      <c r="D6" s="8" t="s">
        <v>751</v>
      </c>
      <c r="E6" s="8" t="s">
        <v>393</v>
      </c>
      <c r="F6" s="8"/>
    </row>
    <row r="7" customFormat="false" ht="15" hidden="false" customHeight="true" outlineLevel="0" collapsed="false">
      <c r="A7" s="8" t="s">
        <v>255</v>
      </c>
      <c r="B7" s="8" t="s">
        <v>669</v>
      </c>
      <c r="C7" s="8" t="str">
        <f aca="false">IFERROR(INDEX(Actions!$B$2:$B$60,MATCH(B7,Actions!$A$2:$A$60,0)),INDEX(Contraindicated!$B$2:$B$60,MATCH(B7,Contraindicated!$A$2:$A$60,0)))</f>
        <v>Position patient (supine; comfort position if respiratory distress/vomiting)</v>
      </c>
      <c r="D7" s="8" t="s">
        <v>751</v>
      </c>
      <c r="E7" s="8" t="s">
        <v>393</v>
      </c>
      <c r="F7" s="8"/>
    </row>
    <row r="8" customFormat="false" ht="23.25" hidden="false" customHeight="true" outlineLevel="0" collapsed="false">
      <c r="A8" s="8" t="s">
        <v>255</v>
      </c>
      <c r="B8" s="8" t="s">
        <v>677</v>
      </c>
      <c r="C8" s="8" t="str">
        <f aca="false">IFERROR(INDEX(Actions!$B$2:$B$60,MATCH(B8,Actions!$A$2:$A$60,0)),INDEX(Contraindicated!$B$2:$B$60,MATCH(B8,Contraindicated!$A$2:$A$60,0)))</f>
        <v>Establish IV access with wide-bore cannula (14-16 G adult)</v>
      </c>
      <c r="D8" s="8" t="s">
        <v>751</v>
      </c>
      <c r="E8" s="8" t="s">
        <v>393</v>
      </c>
      <c r="F8" s="8" t="s">
        <v>753</v>
      </c>
    </row>
    <row r="9" customFormat="false" ht="15" hidden="false" customHeight="true" outlineLevel="0" collapsed="false">
      <c r="A9" s="8" t="s">
        <v>255</v>
      </c>
      <c r="B9" s="8" t="s">
        <v>683</v>
      </c>
      <c r="C9" s="8" t="str">
        <f aca="false">IFERROR(INDEX(Actions!$B$2:$B$60,MATCH(B9,Actions!$A$2:$A$60,0)),INDEX(Contraindicated!$B$2:$B$60,MATCH(B9,Contraindicated!$A$2:$A$60,0)))</f>
        <v>Monitor BP, HR, respiratory status, oxygenation, mental status</v>
      </c>
      <c r="D9" s="8" t="s">
        <v>751</v>
      </c>
      <c r="E9" s="8" t="s">
        <v>393</v>
      </c>
      <c r="F9" s="8"/>
    </row>
    <row r="10" customFormat="false" ht="23.25" hidden="false" customHeight="true" outlineLevel="0" collapsed="false">
      <c r="A10" s="8" t="s">
        <v>255</v>
      </c>
      <c r="B10" s="8" t="s">
        <v>687</v>
      </c>
      <c r="C10" s="8" t="str">
        <f aca="false">IFERROR(INDEX(Actions!$B$2:$B$60,MATCH(B10,Actions!$A$2:$A$60,0)),INDEX(Contraindicated!$B$2:$B$60,MATCH(B10,Contraindicated!$A$2:$A$60,0)))</f>
        <v>Inhaled short-acting beta-2 agonist (salbutamol/albuterol)</v>
      </c>
      <c r="D10" s="8" t="s">
        <v>751</v>
      </c>
      <c r="E10" s="8" t="s">
        <v>393</v>
      </c>
      <c r="F10" s="8" t="s">
        <v>754</v>
      </c>
    </row>
    <row r="11" customFormat="false" ht="44.25" hidden="false" customHeight="true" outlineLevel="0" collapsed="false">
      <c r="A11" s="8" t="s">
        <v>255</v>
      </c>
      <c r="B11" s="8" t="s">
        <v>680</v>
      </c>
      <c r="C11" s="8" t="str">
        <f aca="false">IFERROR(INDEX(Actions!$B$2:$B$60,MATCH(B11,Actions!$A$2:$A$60,0)),INDEX(Contraindicated!$B$2:$B$60,MATCH(B11,Contraindicated!$A$2:$A$60,0)))</f>
        <v>IV crystalloid fluids for cardiovascular instability</v>
      </c>
      <c r="D11" s="8" t="s">
        <v>755</v>
      </c>
      <c r="E11" s="8" t="s">
        <v>393</v>
      </c>
      <c r="F11" s="8" t="s">
        <v>756</v>
      </c>
    </row>
    <row r="12" customFormat="false" ht="23.25" hidden="false" customHeight="true" outlineLevel="0" collapsed="false">
      <c r="A12" s="8" t="s">
        <v>255</v>
      </c>
      <c r="B12" s="8" t="s">
        <v>691</v>
      </c>
      <c r="C12" s="8" t="str">
        <f aca="false">IFERROR(INDEX(Actions!$B$2:$B$60,MATCH(B12,Actions!$A$2:$A$60,0)),INDEX(Contraindicated!$B$2:$B$60,MATCH(B12,Contraindicated!$A$2:$A$60,0)))</f>
        <v>Nebulized epinephrine for upper airway obstruction</v>
      </c>
      <c r="D12" s="8" t="s">
        <v>757</v>
      </c>
      <c r="E12" s="8" t="s">
        <v>393</v>
      </c>
      <c r="F12" s="8" t="s">
        <v>758</v>
      </c>
    </row>
    <row r="13" customFormat="false" ht="34.5" hidden="false" customHeight="true" outlineLevel="0" collapsed="false">
      <c r="A13" s="8" t="s">
        <v>255</v>
      </c>
      <c r="B13" s="8" t="s">
        <v>694</v>
      </c>
      <c r="C13" s="8" t="str">
        <f aca="false">IFERROR(INDEX(Actions!$B$2:$B$60,MATCH(B13,Actions!$A$2:$A$60,0)),INDEX(Contraindicated!$B$2:$B$60,MATCH(B13,Contraindicated!$A$2:$A$60,0)))</f>
        <v>CPR with continuous chest compressions</v>
      </c>
      <c r="D13" s="8" t="s">
        <v>757</v>
      </c>
      <c r="E13" s="8" t="s">
        <v>393</v>
      </c>
      <c r="F13" s="8" t="s">
        <v>759</v>
      </c>
    </row>
    <row r="14" customFormat="false" ht="23.25" hidden="false" customHeight="true" outlineLevel="0" collapsed="false">
      <c r="A14" s="8" t="s">
        <v>255</v>
      </c>
      <c r="B14" s="8" t="s">
        <v>699</v>
      </c>
      <c r="C14" s="8" t="str">
        <f aca="false">IFERROR(INDEX(Actions!$B$2:$B$60,MATCH(B14,Actions!$A$2:$A$60,0)),INDEX(Contraindicated!$B$2:$B$60,MATCH(B14,Contraindicated!$A$2:$A$60,0)))</f>
        <v>IV epinephrine infusion via infusion pump</v>
      </c>
      <c r="D14" s="8" t="s">
        <v>757</v>
      </c>
      <c r="E14" s="8" t="s">
        <v>393</v>
      </c>
      <c r="F14" s="8" t="s">
        <v>760</v>
      </c>
    </row>
    <row r="15" customFormat="false" ht="23.25" hidden="false" customHeight="true" outlineLevel="0" collapsed="false">
      <c r="A15" s="8" t="s">
        <v>255</v>
      </c>
      <c r="B15" s="8" t="s">
        <v>702</v>
      </c>
      <c r="C15" s="8" t="str">
        <f aca="false">IFERROR(INDEX(Actions!$B$2:$B$60,MATCH(B15,Actions!$A$2:$A$60,0)),INDEX(Contraindicated!$B$2:$B$60,MATCH(B15,Contraindicated!$A$2:$A$60,0)))</f>
        <v>Parenteral glucagon</v>
      </c>
      <c r="D15" s="8" t="s">
        <v>757</v>
      </c>
      <c r="E15" s="8" t="s">
        <v>393</v>
      </c>
      <c r="F15" s="8" t="s">
        <v>761</v>
      </c>
    </row>
    <row r="16" customFormat="false" ht="15" hidden="false" customHeight="true" outlineLevel="0" collapsed="false">
      <c r="A16" s="8" t="s">
        <v>255</v>
      </c>
      <c r="B16" s="8" t="s">
        <v>705</v>
      </c>
      <c r="C16" s="8" t="str">
        <f aca="false">IFERROR(INDEX(Actions!$B$2:$B$60,MATCH(B16,Actions!$A$2:$A$60,0)),INDEX(Contraindicated!$B$2:$B$60,MATCH(B16,Contraindicated!$A$2:$A$60,0)))</f>
        <v>H1-antihistamine</v>
      </c>
      <c r="D16" s="8" t="s">
        <v>757</v>
      </c>
      <c r="E16" s="8" t="s">
        <v>393</v>
      </c>
      <c r="F16" s="8" t="s">
        <v>762</v>
      </c>
    </row>
    <row r="17" customFormat="false" ht="15" hidden="false" customHeight="true" outlineLevel="0" collapsed="false">
      <c r="A17" s="8" t="s">
        <v>255</v>
      </c>
      <c r="B17" s="8" t="s">
        <v>709</v>
      </c>
      <c r="C17" s="8" t="str">
        <f aca="false">IFERROR(INDEX(Actions!$B$2:$B$60,MATCH(B17,Actions!$A$2:$A$60,0)),INDEX(Contraindicated!$B$2:$B$60,MATCH(B17,Contraindicated!$A$2:$A$60,0)))</f>
        <v>Glucocorticoid</v>
      </c>
      <c r="D17" s="8" t="s">
        <v>757</v>
      </c>
      <c r="E17" s="8" t="s">
        <v>393</v>
      </c>
      <c r="F17" s="8" t="s">
        <v>763</v>
      </c>
    </row>
    <row r="18" customFormat="false" ht="15" hidden="false" customHeight="true" outlineLevel="0" collapsed="false">
      <c r="A18" s="8" t="s">
        <v>255</v>
      </c>
      <c r="B18" s="8" t="s">
        <v>723</v>
      </c>
      <c r="C18" s="8" t="str">
        <f aca="false">IFERROR(INDEX(Actions!$B$2:$B$60,MATCH(B18,Actions!$A$2:$A$60,0)),INDEX(Contraindicated!$B$2:$B$60,MATCH(B18,Contraindicated!$A$2:$A$60,0)))</f>
        <v>IV epinephrine bolus as initial treatment</v>
      </c>
      <c r="D18" s="8" t="s">
        <v>764</v>
      </c>
      <c r="E18" s="8" t="s">
        <v>393</v>
      </c>
      <c r="F18" s="8"/>
    </row>
    <row r="19" customFormat="false" ht="23.25" hidden="false" customHeight="true" outlineLevel="0" collapsed="false">
      <c r="A19" s="8" t="s">
        <v>255</v>
      </c>
      <c r="B19" s="8" t="s">
        <v>735</v>
      </c>
      <c r="C19" s="8" t="str">
        <f aca="false">IFERROR(INDEX(Actions!$B$2:$B$60,MATCH(B19,Actions!$A$2:$A$60,0)),INDEX(Contraindicated!$B$2:$B$60,MATCH(B19,Contraindicated!$A$2:$A$60,0)))</f>
        <v>Using antihistamine, steroid or bronchodilator INSTEAD of (or delaying) IM epinephrine</v>
      </c>
      <c r="D19" s="8" t="s">
        <v>764</v>
      </c>
      <c r="E19" s="8" t="s">
        <v>393</v>
      </c>
      <c r="F19" s="8"/>
    </row>
    <row r="20" customFormat="false" ht="15" hidden="false" customHeight="true" outlineLevel="0" collapsed="false">
      <c r="A20" s="8" t="s">
        <v>255</v>
      </c>
      <c r="B20" s="8" t="s">
        <v>741</v>
      </c>
      <c r="C20" s="8" t="str">
        <f aca="false">IFERROR(INDEX(Actions!$B$2:$B$60,MATCH(B20,Actions!$A$2:$A$60,0)),INDEX(Contraindicated!$B$2:$B$60,MATCH(B20,Contraindicated!$A$2:$A$60,0)))</f>
        <v>Letting the patient stand or sit up suddenly</v>
      </c>
      <c r="D20" s="8" t="s">
        <v>764</v>
      </c>
      <c r="E20" s="8" t="s">
        <v>393</v>
      </c>
      <c r="F20" s="8"/>
    </row>
    <row r="21" customFormat="false" ht="15" hidden="false" customHeight="true" outlineLevel="0" collapsed="false">
      <c r="A21" s="8" t="s">
        <v>260</v>
      </c>
      <c r="B21" s="8" t="s">
        <v>664</v>
      </c>
      <c r="C21" s="8" t="str">
        <f aca="false">IFERROR(INDEX(Actions!$B$2:$B$60,MATCH(B21,Actions!$A$2:$A$60,0)),INDEX(Contraindicated!$B$2:$B$60,MATCH(B21,Contraindicated!$A$2:$A$60,0)))</f>
        <v>IM epinephrine (adrenaline), mid-anterolateral thigh</v>
      </c>
      <c r="D21" s="8" t="s">
        <v>749</v>
      </c>
      <c r="E21" s="8" t="s">
        <v>369</v>
      </c>
      <c r="F21" s="8" t="s">
        <v>765</v>
      </c>
    </row>
    <row r="22" customFormat="false" ht="44.25" hidden="false" customHeight="true" outlineLevel="0" collapsed="false">
      <c r="A22" s="8" t="s">
        <v>260</v>
      </c>
      <c r="B22" s="8" t="s">
        <v>673</v>
      </c>
      <c r="C22" s="8" t="str">
        <f aca="false">IFERROR(INDEX(Actions!$B$2:$B$60,MATCH(B22,Actions!$A$2:$A$60,0)),INDEX(Contraindicated!$B$2:$B$60,MATCH(B22,Contraindicated!$A$2:$A$60,0)))</f>
        <v>High-flow oxygen, preferably 100% via non-rebreather mask</v>
      </c>
      <c r="D22" s="8" t="s">
        <v>751</v>
      </c>
      <c r="E22" s="8" t="s">
        <v>393</v>
      </c>
      <c r="F22" s="8" t="s">
        <v>752</v>
      </c>
    </row>
    <row r="23" customFormat="false" ht="44.25" hidden="false" customHeight="true" outlineLevel="0" collapsed="false">
      <c r="A23" s="8" t="s">
        <v>260</v>
      </c>
      <c r="B23" s="8" t="s">
        <v>699</v>
      </c>
      <c r="C23" s="8" t="str">
        <f aca="false">IFERROR(INDEX(Actions!$B$2:$B$60,MATCH(B23,Actions!$A$2:$A$60,0)),INDEX(Contraindicated!$B$2:$B$60,MATCH(B23,Contraindicated!$A$2:$A$60,0)))</f>
        <v>IV epinephrine infusion via infusion pump</v>
      </c>
      <c r="D23" s="8" t="s">
        <v>757</v>
      </c>
      <c r="E23" s="8" t="s">
        <v>393</v>
      </c>
      <c r="F23" s="8" t="s">
        <v>766</v>
      </c>
    </row>
    <row r="24" customFormat="false" ht="44.25" hidden="false" customHeight="true" outlineLevel="0" collapsed="false">
      <c r="A24" s="8" t="s">
        <v>260</v>
      </c>
      <c r="B24" s="8" t="s">
        <v>702</v>
      </c>
      <c r="C24" s="8" t="str">
        <f aca="false">IFERROR(INDEX(Actions!$B$2:$B$60,MATCH(B24,Actions!$A$2:$A$60,0)),INDEX(Contraindicated!$B$2:$B$60,MATCH(B24,Contraindicated!$A$2:$A$60,0)))</f>
        <v>Parenteral glucagon</v>
      </c>
      <c r="D24" s="8" t="s">
        <v>757</v>
      </c>
      <c r="E24" s="8" t="s">
        <v>393</v>
      </c>
      <c r="F24" s="8" t="s">
        <v>767</v>
      </c>
    </row>
    <row r="25" customFormat="false" ht="15" hidden="false" customHeight="true" outlineLevel="0" collapsed="false">
      <c r="A25" s="8" t="s">
        <v>260</v>
      </c>
      <c r="B25" s="8" t="s">
        <v>654</v>
      </c>
      <c r="C25" s="8" t="str">
        <f aca="false">IFERROR(INDEX(Actions!$B$2:$B$60,MATCH(B25,Actions!$A$2:$A$60,0)),INDEX(Contraindicated!$B$2:$B$60,MATCH(B25,Contraindicated!$A$2:$A$60,0)))</f>
        <v>Remove/stop trigger if possible (e.g., stop IV drug or agent)</v>
      </c>
      <c r="D25" s="8" t="s">
        <v>751</v>
      </c>
      <c r="E25" s="8" t="s">
        <v>393</v>
      </c>
      <c r="F25" s="8" t="s">
        <v>768</v>
      </c>
    </row>
    <row r="26" customFormat="false" ht="15" hidden="false" customHeight="true" outlineLevel="0" collapsed="false">
      <c r="A26" s="8" t="s">
        <v>260</v>
      </c>
      <c r="B26" s="8" t="s">
        <v>658</v>
      </c>
      <c r="C26" s="8" t="str">
        <f aca="false">IFERROR(INDEX(Actions!$B$2:$B$60,MATCH(B26,Actions!$A$2:$A$60,0)),INDEX(Contraindicated!$B$2:$B$60,MATCH(B26,Contraindicated!$A$2:$A$60,0)))</f>
        <v>Assess airway, breathing, circulation, mental status, skin, weight</v>
      </c>
      <c r="D26" s="8" t="s">
        <v>751</v>
      </c>
      <c r="E26" s="8" t="s">
        <v>393</v>
      </c>
      <c r="F26" s="8" t="s">
        <v>769</v>
      </c>
    </row>
    <row r="27" customFormat="false" ht="15" hidden="false" customHeight="true" outlineLevel="0" collapsed="false">
      <c r="A27" s="8" t="s">
        <v>260</v>
      </c>
      <c r="B27" s="8" t="s">
        <v>661</v>
      </c>
      <c r="C27" s="8" t="str">
        <f aca="false">IFERROR(INDEX(Actions!$B$2:$B$60,MATCH(B27,Actions!$A$2:$A$60,0)),INDEX(Contraindicated!$B$2:$B$60,MATCH(B27,Contraindicated!$A$2:$A$60,0)))</f>
        <v>Call for help (resuscitation team / emergency services)</v>
      </c>
      <c r="D27" s="8" t="s">
        <v>751</v>
      </c>
      <c r="E27" s="8" t="s">
        <v>393</v>
      </c>
      <c r="F27" s="8"/>
    </row>
    <row r="28" customFormat="false" ht="15" hidden="false" customHeight="true" outlineLevel="0" collapsed="false">
      <c r="A28" s="8" t="s">
        <v>260</v>
      </c>
      <c r="B28" s="8" t="s">
        <v>669</v>
      </c>
      <c r="C28" s="8" t="str">
        <f aca="false">IFERROR(INDEX(Actions!$B$2:$B$60,MATCH(B28,Actions!$A$2:$A$60,0)),INDEX(Contraindicated!$B$2:$B$60,MATCH(B28,Contraindicated!$A$2:$A$60,0)))</f>
        <v>Position patient (supine; comfort position if respiratory distress/vomiting)</v>
      </c>
      <c r="D28" s="8" t="s">
        <v>751</v>
      </c>
      <c r="E28" s="8" t="s">
        <v>393</v>
      </c>
      <c r="F28" s="8" t="s">
        <v>770</v>
      </c>
    </row>
    <row r="29" customFormat="false" ht="15" hidden="false" customHeight="true" outlineLevel="0" collapsed="false">
      <c r="A29" s="8" t="s">
        <v>260</v>
      </c>
      <c r="B29" s="8" t="s">
        <v>677</v>
      </c>
      <c r="C29" s="8" t="str">
        <f aca="false">IFERROR(INDEX(Actions!$B$2:$B$60,MATCH(B29,Actions!$A$2:$A$60,0)),INDEX(Contraindicated!$B$2:$B$60,MATCH(B29,Contraindicated!$A$2:$A$60,0)))</f>
        <v>Establish IV access with wide-bore cannula (14-16 G adult)</v>
      </c>
      <c r="D29" s="8" t="s">
        <v>751</v>
      </c>
      <c r="E29" s="8" t="s">
        <v>393</v>
      </c>
      <c r="F29" s="8"/>
    </row>
    <row r="30" customFormat="false" ht="15" hidden="false" customHeight="true" outlineLevel="0" collapsed="false">
      <c r="A30" s="8" t="s">
        <v>260</v>
      </c>
      <c r="B30" s="8" t="s">
        <v>683</v>
      </c>
      <c r="C30" s="8" t="str">
        <f aca="false">IFERROR(INDEX(Actions!$B$2:$B$60,MATCH(B30,Actions!$A$2:$A$60,0)),INDEX(Contraindicated!$B$2:$B$60,MATCH(B30,Contraindicated!$A$2:$A$60,0)))</f>
        <v>Monitor BP, HR, respiratory status, oxygenation, mental status</v>
      </c>
      <c r="D30" s="8" t="s">
        <v>751</v>
      </c>
      <c r="E30" s="8" t="s">
        <v>393</v>
      </c>
      <c r="F30" s="8" t="s">
        <v>771</v>
      </c>
    </row>
    <row r="31" customFormat="false" ht="15" hidden="false" customHeight="true" outlineLevel="0" collapsed="false">
      <c r="A31" s="8" t="s">
        <v>260</v>
      </c>
      <c r="B31" s="8" t="s">
        <v>687</v>
      </c>
      <c r="C31" s="8" t="str">
        <f aca="false">IFERROR(INDEX(Actions!$B$2:$B$60,MATCH(B31,Actions!$A$2:$A$60,0)),INDEX(Contraindicated!$B$2:$B$60,MATCH(B31,Contraindicated!$A$2:$A$60,0)))</f>
        <v>Inhaled short-acting beta-2 agonist (salbutamol/albuterol)</v>
      </c>
      <c r="D31" s="8" t="s">
        <v>751</v>
      </c>
      <c r="E31" s="8" t="s">
        <v>393</v>
      </c>
      <c r="F31" s="8" t="s">
        <v>772</v>
      </c>
    </row>
    <row r="32" customFormat="false" ht="15" hidden="false" customHeight="true" outlineLevel="0" collapsed="false">
      <c r="A32" s="8" t="s">
        <v>260</v>
      </c>
      <c r="B32" s="8" t="s">
        <v>691</v>
      </c>
      <c r="C32" s="8" t="str">
        <f aca="false">IFERROR(INDEX(Actions!$B$2:$B$60,MATCH(B32,Actions!$A$2:$A$60,0)),INDEX(Contraindicated!$B$2:$B$60,MATCH(B32,Contraindicated!$A$2:$A$60,0)))</f>
        <v>Nebulized epinephrine for upper airway obstruction</v>
      </c>
      <c r="D32" s="8" t="s">
        <v>751</v>
      </c>
      <c r="E32" s="8" t="s">
        <v>393</v>
      </c>
      <c r="F32" s="8" t="s">
        <v>693</v>
      </c>
    </row>
    <row r="33" customFormat="false" ht="44.25" hidden="false" customHeight="true" outlineLevel="0" collapsed="false">
      <c r="A33" s="8" t="s">
        <v>260</v>
      </c>
      <c r="B33" s="8" t="s">
        <v>680</v>
      </c>
      <c r="C33" s="8" t="str">
        <f aca="false">IFERROR(INDEX(Actions!$B$2:$B$60,MATCH(B33,Actions!$A$2:$A$60,0)),INDEX(Contraindicated!$B$2:$B$60,MATCH(B33,Contraindicated!$A$2:$A$60,0)))</f>
        <v>IV crystalloid fluids for cardiovascular instability</v>
      </c>
      <c r="D33" s="8" t="s">
        <v>755</v>
      </c>
      <c r="E33" s="8" t="s">
        <v>393</v>
      </c>
      <c r="F33" s="8" t="s">
        <v>756</v>
      </c>
    </row>
    <row r="34" customFormat="false" ht="23.25" hidden="false" customHeight="true" outlineLevel="0" collapsed="false">
      <c r="A34" s="8" t="s">
        <v>260</v>
      </c>
      <c r="B34" s="8" t="s">
        <v>694</v>
      </c>
      <c r="C34" s="8" t="str">
        <f aca="false">IFERROR(INDEX(Actions!$B$2:$B$60,MATCH(B34,Actions!$A$2:$A$60,0)),INDEX(Contraindicated!$B$2:$B$60,MATCH(B34,Contraindicated!$A$2:$A$60,0)))</f>
        <v>CPR with continuous chest compressions</v>
      </c>
      <c r="D34" s="8" t="s">
        <v>757</v>
      </c>
      <c r="E34" s="8" t="s">
        <v>393</v>
      </c>
      <c r="F34" s="8" t="s">
        <v>773</v>
      </c>
    </row>
    <row r="35" customFormat="false" ht="15" hidden="false" customHeight="true" outlineLevel="0" collapsed="false">
      <c r="A35" s="8" t="s">
        <v>260</v>
      </c>
      <c r="B35" s="8" t="s">
        <v>705</v>
      </c>
      <c r="C35" s="8" t="str">
        <f aca="false">IFERROR(INDEX(Actions!$B$2:$B$60,MATCH(B35,Actions!$A$2:$A$60,0)),INDEX(Contraindicated!$B$2:$B$60,MATCH(B35,Contraindicated!$A$2:$A$60,0)))</f>
        <v>H1-antihistamine</v>
      </c>
      <c r="D35" s="8" t="s">
        <v>757</v>
      </c>
      <c r="E35" s="8" t="s">
        <v>393</v>
      </c>
      <c r="F35" s="8"/>
    </row>
    <row r="36" customFormat="false" ht="15" hidden="false" customHeight="true" outlineLevel="0" collapsed="false">
      <c r="A36" s="8" t="s">
        <v>260</v>
      </c>
      <c r="B36" s="8" t="s">
        <v>709</v>
      </c>
      <c r="C36" s="8" t="str">
        <f aca="false">IFERROR(INDEX(Actions!$B$2:$B$60,MATCH(B36,Actions!$A$2:$A$60,0)),INDEX(Contraindicated!$B$2:$B$60,MATCH(B36,Contraindicated!$A$2:$A$60,0)))</f>
        <v>Glucocorticoid</v>
      </c>
      <c r="D36" s="8" t="s">
        <v>757</v>
      </c>
      <c r="E36" s="8" t="s">
        <v>393</v>
      </c>
      <c r="F36" s="8"/>
    </row>
    <row r="37" customFormat="false" ht="15" hidden="false" customHeight="true" outlineLevel="0" collapsed="false">
      <c r="A37" s="8" t="s">
        <v>260</v>
      </c>
      <c r="B37" s="8" t="s">
        <v>723</v>
      </c>
      <c r="C37" s="8" t="str">
        <f aca="false">IFERROR(INDEX(Actions!$B$2:$B$60,MATCH(B37,Actions!$A$2:$A$60,0)),INDEX(Contraindicated!$B$2:$B$60,MATCH(B37,Contraindicated!$A$2:$A$60,0)))</f>
        <v>IV epinephrine bolus as initial treatment</v>
      </c>
      <c r="D37" s="8" t="s">
        <v>764</v>
      </c>
      <c r="E37" s="8" t="s">
        <v>393</v>
      </c>
      <c r="F37" s="8"/>
    </row>
    <row r="38" customFormat="false" ht="15" hidden="false" customHeight="true" outlineLevel="0" collapsed="false">
      <c r="A38" s="8" t="s">
        <v>260</v>
      </c>
      <c r="B38" s="8" t="s">
        <v>730</v>
      </c>
      <c r="C38" s="8" t="str">
        <f aca="false">IFERROR(INDEX(Actions!$B$2:$B$60,MATCH(B38,Actions!$A$2:$A$60,0)),INDEX(Contraindicated!$B$2:$B$60,MATCH(B38,Contraindicated!$A$2:$A$60,0)))</f>
        <v>Rapid IV first-generation antihistamine (e.g., chlorphenamine)</v>
      </c>
      <c r="D38" s="8" t="s">
        <v>764</v>
      </c>
      <c r="E38" s="8" t="s">
        <v>393</v>
      </c>
      <c r="F38" s="8"/>
    </row>
    <row r="39" customFormat="false" ht="23.25" hidden="false" customHeight="true" outlineLevel="0" collapsed="false">
      <c r="A39" s="8" t="s">
        <v>260</v>
      </c>
      <c r="B39" s="8" t="s">
        <v>735</v>
      </c>
      <c r="C39" s="8" t="str">
        <f aca="false">IFERROR(INDEX(Actions!$B$2:$B$60,MATCH(B39,Actions!$A$2:$A$60,0)),INDEX(Contraindicated!$B$2:$B$60,MATCH(B39,Contraindicated!$A$2:$A$60,0)))</f>
        <v>Using antihistamine, steroid or bronchodilator INSTEAD of (or delaying) IM epinephrine</v>
      </c>
      <c r="D39" s="8" t="s">
        <v>764</v>
      </c>
      <c r="E39" s="8" t="s">
        <v>393</v>
      </c>
      <c r="F39" s="8"/>
    </row>
    <row r="40" customFormat="false" ht="15" hidden="false" customHeight="true" outlineLevel="0" collapsed="false">
      <c r="A40" s="8" t="s">
        <v>260</v>
      </c>
      <c r="B40" s="8" t="s">
        <v>741</v>
      </c>
      <c r="C40" s="8" t="str">
        <f aca="false">IFERROR(INDEX(Actions!$B$2:$B$60,MATCH(B40,Actions!$A$2:$A$60,0)),INDEX(Contraindicated!$B$2:$B$60,MATCH(B40,Contraindicated!$A$2:$A$60,0)))</f>
        <v>Letting the patient stand or sit up suddenly</v>
      </c>
      <c r="D40" s="8" t="s">
        <v>764</v>
      </c>
      <c r="E40" s="8" t="s">
        <v>393</v>
      </c>
      <c r="F40" s="8" t="s">
        <v>774</v>
      </c>
    </row>
    <row r="41" customFormat="false" ht="44.25" hidden="false" customHeight="true" outlineLevel="0" collapsed="false">
      <c r="A41" s="8" t="s">
        <v>263</v>
      </c>
      <c r="B41" s="8" t="s">
        <v>664</v>
      </c>
      <c r="C41" s="8" t="str">
        <f aca="false">IFERROR(INDEX(Actions!$B$2:$B$60,MATCH(B41,Actions!$A$2:$A$60,0)),INDEX(Contraindicated!$B$2:$B$60,MATCH(B41,Contraindicated!$A$2:$A$60,0)))</f>
        <v>IM epinephrine (adrenaline), mid-anterolateral thigh</v>
      </c>
      <c r="D41" s="8" t="s">
        <v>749</v>
      </c>
      <c r="E41" s="8" t="s">
        <v>369</v>
      </c>
      <c r="F41" s="8" t="s">
        <v>775</v>
      </c>
    </row>
    <row r="42" customFormat="false" ht="44.25" hidden="false" customHeight="true" outlineLevel="0" collapsed="false">
      <c r="A42" s="8" t="s">
        <v>263</v>
      </c>
      <c r="B42" s="8" t="s">
        <v>673</v>
      </c>
      <c r="C42" s="8" t="str">
        <f aca="false">IFERROR(INDEX(Actions!$B$2:$B$60,MATCH(B42,Actions!$A$2:$A$60,0)),INDEX(Contraindicated!$B$2:$B$60,MATCH(B42,Contraindicated!$A$2:$A$60,0)))</f>
        <v>High-flow oxygen, preferably 100% via non-rebreather mask</v>
      </c>
      <c r="D42" s="8" t="s">
        <v>751</v>
      </c>
      <c r="E42" s="8" t="s">
        <v>393</v>
      </c>
      <c r="F42" s="8" t="s">
        <v>752</v>
      </c>
    </row>
    <row r="43" customFormat="false" ht="44.25" hidden="false" customHeight="true" outlineLevel="0" collapsed="false">
      <c r="A43" s="8" t="s">
        <v>263</v>
      </c>
      <c r="B43" s="8" t="s">
        <v>677</v>
      </c>
      <c r="C43" s="8" t="str">
        <f aca="false">IFERROR(INDEX(Actions!$B$2:$B$60,MATCH(B43,Actions!$A$2:$A$60,0)),INDEX(Contraindicated!$B$2:$B$60,MATCH(B43,Contraindicated!$A$2:$A$60,0)))</f>
        <v>Establish IV access with wide-bore cannula (14-16 G adult)</v>
      </c>
      <c r="D43" s="8" t="s">
        <v>751</v>
      </c>
      <c r="E43" s="8" t="s">
        <v>393</v>
      </c>
      <c r="F43" s="8" t="s">
        <v>776</v>
      </c>
    </row>
    <row r="44" customFormat="false" ht="44.25" hidden="false" customHeight="true" outlineLevel="0" collapsed="false">
      <c r="A44" s="8" t="s">
        <v>263</v>
      </c>
      <c r="B44" s="8" t="s">
        <v>680</v>
      </c>
      <c r="C44" s="8" t="str">
        <f aca="false">IFERROR(INDEX(Actions!$B$2:$B$60,MATCH(B44,Actions!$A$2:$A$60,0)),INDEX(Contraindicated!$B$2:$B$60,MATCH(B44,Contraindicated!$A$2:$A$60,0)))</f>
        <v>IV crystalloid fluids for cardiovascular instability</v>
      </c>
      <c r="D44" s="8" t="s">
        <v>755</v>
      </c>
      <c r="E44" s="8" t="s">
        <v>393</v>
      </c>
      <c r="F44" s="8" t="s">
        <v>777</v>
      </c>
    </row>
    <row r="45" customFormat="false" ht="44.25" hidden="false" customHeight="true" outlineLevel="0" collapsed="false">
      <c r="A45" s="8" t="s">
        <v>263</v>
      </c>
      <c r="B45" s="8" t="s">
        <v>694</v>
      </c>
      <c r="C45" s="8" t="str">
        <f aca="false">IFERROR(INDEX(Actions!$B$2:$B$60,MATCH(B45,Actions!$A$2:$A$60,0)),INDEX(Contraindicated!$B$2:$B$60,MATCH(B45,Contraindicated!$A$2:$A$60,0)))</f>
        <v>CPR with continuous chest compressions</v>
      </c>
      <c r="D45" s="8" t="s">
        <v>755</v>
      </c>
      <c r="E45" s="8" t="s">
        <v>778</v>
      </c>
      <c r="F45" s="8" t="s">
        <v>779</v>
      </c>
    </row>
    <row r="46" customFormat="false" ht="44.25" hidden="false" customHeight="true" outlineLevel="0" collapsed="false">
      <c r="A46" s="8" t="s">
        <v>263</v>
      </c>
      <c r="B46" s="8" t="s">
        <v>699</v>
      </c>
      <c r="C46" s="8" t="str">
        <f aca="false">IFERROR(INDEX(Actions!$B$2:$B$60,MATCH(B46,Actions!$A$2:$A$60,0)),INDEX(Contraindicated!$B$2:$B$60,MATCH(B46,Contraindicated!$A$2:$A$60,0)))</f>
        <v>IV epinephrine infusion via infusion pump</v>
      </c>
      <c r="D46" s="8" t="s">
        <v>749</v>
      </c>
      <c r="E46" s="8" t="s">
        <v>369</v>
      </c>
      <c r="F46" s="8" t="s">
        <v>780</v>
      </c>
    </row>
    <row r="47" customFormat="false" ht="15" hidden="false" customHeight="true" outlineLevel="0" collapsed="false">
      <c r="A47" s="8" t="s">
        <v>263</v>
      </c>
      <c r="B47" s="8" t="s">
        <v>702</v>
      </c>
      <c r="C47" s="8" t="str">
        <f aca="false">IFERROR(INDEX(Actions!$B$2:$B$60,MATCH(B47,Actions!$A$2:$A$60,0)),INDEX(Contraindicated!$B$2:$B$60,MATCH(B47,Contraindicated!$A$2:$A$60,0)))</f>
        <v>Parenteral glucagon</v>
      </c>
      <c r="D47" s="8" t="s">
        <v>755</v>
      </c>
      <c r="E47" s="8" t="s">
        <v>393</v>
      </c>
      <c r="F47" s="8" t="s">
        <v>781</v>
      </c>
    </row>
    <row r="48" customFormat="false" ht="15" hidden="false" customHeight="true" outlineLevel="0" collapsed="false">
      <c r="A48" s="8" t="s">
        <v>263</v>
      </c>
      <c r="B48" s="8" t="s">
        <v>654</v>
      </c>
      <c r="C48" s="8" t="str">
        <f aca="false">IFERROR(INDEX(Actions!$B$2:$B$60,MATCH(B48,Actions!$A$2:$A$60,0)),INDEX(Contraindicated!$B$2:$B$60,MATCH(B48,Contraindicated!$A$2:$A$60,0)))</f>
        <v>Remove/stop trigger if possible (e.g., stop IV drug or agent)</v>
      </c>
      <c r="D48" s="8" t="s">
        <v>751</v>
      </c>
      <c r="E48" s="8" t="s">
        <v>393</v>
      </c>
      <c r="F48" s="8" t="s">
        <v>768</v>
      </c>
    </row>
    <row r="49" customFormat="false" ht="15" hidden="false" customHeight="true" outlineLevel="0" collapsed="false">
      <c r="A49" s="8" t="s">
        <v>263</v>
      </c>
      <c r="B49" s="8" t="s">
        <v>658</v>
      </c>
      <c r="C49" s="8" t="str">
        <f aca="false">IFERROR(INDEX(Actions!$B$2:$B$60,MATCH(B49,Actions!$A$2:$A$60,0)),INDEX(Contraindicated!$B$2:$B$60,MATCH(B49,Contraindicated!$A$2:$A$60,0)))</f>
        <v>Assess airway, breathing, circulation, mental status, skin, weight</v>
      </c>
      <c r="D49" s="8" t="s">
        <v>751</v>
      </c>
      <c r="E49" s="8" t="s">
        <v>393</v>
      </c>
      <c r="F49" s="8" t="s">
        <v>769</v>
      </c>
    </row>
    <row r="50" customFormat="false" ht="15" hidden="false" customHeight="true" outlineLevel="0" collapsed="false">
      <c r="A50" s="8" t="s">
        <v>263</v>
      </c>
      <c r="B50" s="8" t="s">
        <v>661</v>
      </c>
      <c r="C50" s="8" t="str">
        <f aca="false">IFERROR(INDEX(Actions!$B$2:$B$60,MATCH(B50,Actions!$A$2:$A$60,0)),INDEX(Contraindicated!$B$2:$B$60,MATCH(B50,Contraindicated!$A$2:$A$60,0)))</f>
        <v>Call for help (resuscitation team / emergency services)</v>
      </c>
      <c r="D50" s="8" t="s">
        <v>751</v>
      </c>
      <c r="E50" s="8" t="s">
        <v>393</v>
      </c>
      <c r="F50" s="8"/>
    </row>
    <row r="51" customFormat="false" ht="15" hidden="false" customHeight="true" outlineLevel="0" collapsed="false">
      <c r="A51" s="8" t="s">
        <v>263</v>
      </c>
      <c r="B51" s="8" t="s">
        <v>669</v>
      </c>
      <c r="C51" s="8" t="str">
        <f aca="false">IFERROR(INDEX(Actions!$B$2:$B$60,MATCH(B51,Actions!$A$2:$A$60,0)),INDEX(Contraindicated!$B$2:$B$60,MATCH(B51,Contraindicated!$A$2:$A$60,0)))</f>
        <v>Position patient (supine; comfort position if respiratory distress/vomiting)</v>
      </c>
      <c r="D51" s="8" t="s">
        <v>751</v>
      </c>
      <c r="E51" s="8" t="s">
        <v>393</v>
      </c>
      <c r="F51" s="8" t="s">
        <v>782</v>
      </c>
    </row>
    <row r="52" customFormat="false" ht="15" hidden="false" customHeight="true" outlineLevel="0" collapsed="false">
      <c r="A52" s="8" t="s">
        <v>263</v>
      </c>
      <c r="B52" s="8" t="s">
        <v>683</v>
      </c>
      <c r="C52" s="8" t="str">
        <f aca="false">IFERROR(INDEX(Actions!$B$2:$B$60,MATCH(B52,Actions!$A$2:$A$60,0)),INDEX(Contraindicated!$B$2:$B$60,MATCH(B52,Contraindicated!$A$2:$A$60,0)))</f>
        <v>Monitor BP, HR, respiratory status, oxygenation, mental status</v>
      </c>
      <c r="D52" s="8" t="s">
        <v>751</v>
      </c>
      <c r="E52" s="8" t="s">
        <v>393</v>
      </c>
      <c r="F52" s="8" t="s">
        <v>771</v>
      </c>
    </row>
    <row r="53" customFormat="false" ht="15" hidden="false" customHeight="true" outlineLevel="0" collapsed="false">
      <c r="A53" s="8" t="s">
        <v>263</v>
      </c>
      <c r="B53" s="8" t="s">
        <v>687</v>
      </c>
      <c r="C53" s="8" t="str">
        <f aca="false">IFERROR(INDEX(Actions!$B$2:$B$60,MATCH(B53,Actions!$A$2:$A$60,0)),INDEX(Contraindicated!$B$2:$B$60,MATCH(B53,Contraindicated!$A$2:$A$60,0)))</f>
        <v>Inhaled short-acting beta-2 agonist (salbutamol/albuterol)</v>
      </c>
      <c r="D53" s="8" t="s">
        <v>751</v>
      </c>
      <c r="E53" s="8" t="s">
        <v>393</v>
      </c>
      <c r="F53" s="8" t="s">
        <v>783</v>
      </c>
    </row>
    <row r="54" customFormat="false" ht="15" hidden="false" customHeight="true" outlineLevel="0" collapsed="false">
      <c r="A54" s="8" t="s">
        <v>263</v>
      </c>
      <c r="B54" s="8" t="s">
        <v>691</v>
      </c>
      <c r="C54" s="8" t="str">
        <f aca="false">IFERROR(INDEX(Actions!$B$2:$B$60,MATCH(B54,Actions!$A$2:$A$60,0)),INDEX(Contraindicated!$B$2:$B$60,MATCH(B54,Contraindicated!$A$2:$A$60,0)))</f>
        <v>Nebulized epinephrine for upper airway obstruction</v>
      </c>
      <c r="D54" s="8" t="s">
        <v>751</v>
      </c>
      <c r="E54" s="8" t="s">
        <v>393</v>
      </c>
      <c r="F54" s="8" t="s">
        <v>784</v>
      </c>
    </row>
    <row r="55" customFormat="false" ht="23.25" hidden="false" customHeight="true" outlineLevel="0" collapsed="false">
      <c r="A55" s="8" t="s">
        <v>263</v>
      </c>
      <c r="B55" s="8" t="s">
        <v>705</v>
      </c>
      <c r="C55" s="8" t="str">
        <f aca="false">IFERROR(INDEX(Actions!$B$2:$B$60,MATCH(B55,Actions!$A$2:$A$60,0)),INDEX(Contraindicated!$B$2:$B$60,MATCH(B55,Contraindicated!$A$2:$A$60,0)))</f>
        <v>H1-antihistamine</v>
      </c>
      <c r="D55" s="8" t="s">
        <v>757</v>
      </c>
      <c r="E55" s="8" t="s">
        <v>393</v>
      </c>
      <c r="F55" s="8" t="s">
        <v>785</v>
      </c>
    </row>
    <row r="56" customFormat="false" ht="15" hidden="false" customHeight="true" outlineLevel="0" collapsed="false">
      <c r="A56" s="8" t="s">
        <v>263</v>
      </c>
      <c r="B56" s="8" t="s">
        <v>709</v>
      </c>
      <c r="C56" s="8" t="str">
        <f aca="false">IFERROR(INDEX(Actions!$B$2:$B$60,MATCH(B56,Actions!$A$2:$A$60,0)),INDEX(Contraindicated!$B$2:$B$60,MATCH(B56,Contraindicated!$A$2:$A$60,0)))</f>
        <v>Glucocorticoid</v>
      </c>
      <c r="D56" s="8" t="s">
        <v>757</v>
      </c>
      <c r="E56" s="8" t="s">
        <v>393</v>
      </c>
      <c r="F56" s="8"/>
    </row>
    <row r="57" customFormat="false" ht="15" hidden="false" customHeight="true" outlineLevel="0" collapsed="false">
      <c r="A57" s="8" t="s">
        <v>263</v>
      </c>
      <c r="B57" s="8" t="s">
        <v>723</v>
      </c>
      <c r="C57" s="8" t="str">
        <f aca="false">IFERROR(INDEX(Actions!$B$2:$B$60,MATCH(B57,Actions!$A$2:$A$60,0)),INDEX(Contraindicated!$B$2:$B$60,MATCH(B57,Contraindicated!$A$2:$A$60,0)))</f>
        <v>IV epinephrine bolus as initial treatment</v>
      </c>
      <c r="D57" s="8" t="s">
        <v>764</v>
      </c>
      <c r="E57" s="8" t="s">
        <v>393</v>
      </c>
      <c r="F57" s="8"/>
    </row>
    <row r="58" customFormat="false" ht="15" hidden="false" customHeight="true" outlineLevel="0" collapsed="false">
      <c r="A58" s="8" t="s">
        <v>263</v>
      </c>
      <c r="B58" s="8" t="s">
        <v>730</v>
      </c>
      <c r="C58" s="8" t="str">
        <f aca="false">IFERROR(INDEX(Actions!$B$2:$B$60,MATCH(B58,Actions!$A$2:$A$60,0)),INDEX(Contraindicated!$B$2:$B$60,MATCH(B58,Contraindicated!$A$2:$A$60,0)))</f>
        <v>Rapid IV first-generation antihistamine (e.g., chlorphenamine)</v>
      </c>
      <c r="D58" s="8" t="s">
        <v>764</v>
      </c>
      <c r="E58" s="8" t="s">
        <v>393</v>
      </c>
      <c r="F58" s="8"/>
    </row>
    <row r="59" customFormat="false" ht="23.25" hidden="false" customHeight="true" outlineLevel="0" collapsed="false">
      <c r="A59" s="8" t="s">
        <v>263</v>
      </c>
      <c r="B59" s="8" t="s">
        <v>735</v>
      </c>
      <c r="C59" s="8" t="str">
        <f aca="false">IFERROR(INDEX(Actions!$B$2:$B$60,MATCH(B59,Actions!$A$2:$A$60,0)),INDEX(Contraindicated!$B$2:$B$60,MATCH(B59,Contraindicated!$A$2:$A$60,0)))</f>
        <v>Using antihistamine, steroid or bronchodilator INSTEAD of (or delaying) IM epinephrine</v>
      </c>
      <c r="D59" s="8" t="s">
        <v>764</v>
      </c>
      <c r="E59" s="8" t="s">
        <v>393</v>
      </c>
      <c r="F59" s="8"/>
    </row>
    <row r="60" customFormat="false" ht="15" hidden="false" customHeight="true" outlineLevel="0" collapsed="false">
      <c r="A60" s="8" t="s">
        <v>263</v>
      </c>
      <c r="B60" s="8" t="s">
        <v>741</v>
      </c>
      <c r="C60" s="8" t="str">
        <f aca="false">IFERROR(INDEX(Actions!$B$2:$B$60,MATCH(B60,Actions!$A$2:$A$60,0)),INDEX(Contraindicated!$B$2:$B$60,MATCH(B60,Contraindicated!$A$2:$A$60,0)))</f>
        <v>Letting the patient stand or sit up suddenly</v>
      </c>
      <c r="D60" s="8" t="s">
        <v>764</v>
      </c>
      <c r="E60" s="8" t="s">
        <v>393</v>
      </c>
      <c r="F60" s="8" t="s">
        <v>786</v>
      </c>
    </row>
    <row r="61" customFormat="false" ht="23.25" hidden="false" customHeight="true" outlineLevel="0" collapsed="false">
      <c r="A61" s="8" t="s">
        <v>255</v>
      </c>
      <c r="B61" s="8" t="s">
        <v>712</v>
      </c>
      <c r="C61" s="8" t="str">
        <f aca="false">IFERROR(INDEX(Actions!$B$2:$B$60,MATCH(B61,Actions!$A$2:$A$60,0)),INDEX(Contraindicated!$B$2:$B$60,MATCH(B61,Contraindicated!$A$2:$A$60,0)))</f>
        <v>Take blood sample for mast cell tryptase</v>
      </c>
      <c r="D61" s="8" t="s">
        <v>751</v>
      </c>
      <c r="E61" s="8" t="s">
        <v>393</v>
      </c>
      <c r="F61" s="8" t="s">
        <v>787</v>
      </c>
    </row>
    <row r="62" customFormat="false" ht="23.25" hidden="false" customHeight="true" outlineLevel="0" collapsed="false">
      <c r="A62" s="8" t="s">
        <v>260</v>
      </c>
      <c r="B62" s="8" t="s">
        <v>712</v>
      </c>
      <c r="C62" s="8" t="str">
        <f aca="false">IFERROR(INDEX(Actions!$B$2:$B$60,MATCH(B62,Actions!$A$2:$A$60,0)),INDEX(Contraindicated!$B$2:$B$60,MATCH(B62,Contraindicated!$A$2:$A$60,0)))</f>
        <v>Take blood sample for mast cell tryptase</v>
      </c>
      <c r="D62" s="8" t="s">
        <v>751</v>
      </c>
      <c r="E62" s="8" t="s">
        <v>393</v>
      </c>
      <c r="F62" s="8" t="s">
        <v>787</v>
      </c>
    </row>
    <row r="63" customFormat="false" ht="23.25" hidden="false" customHeight="true" outlineLevel="0" collapsed="false">
      <c r="A63" s="8" t="s">
        <v>263</v>
      </c>
      <c r="B63" s="8" t="s">
        <v>712</v>
      </c>
      <c r="C63" s="8" t="str">
        <f aca="false">IFERROR(INDEX(Actions!$B$2:$B$60,MATCH(B63,Actions!$A$2:$A$60,0)),INDEX(Contraindicated!$B$2:$B$60,MATCH(B63,Contraindicated!$A$2:$A$60,0)))</f>
        <v>Take blood sample for mast cell tryptase</v>
      </c>
      <c r="D63" s="8" t="s">
        <v>751</v>
      </c>
      <c r="E63" s="8" t="s">
        <v>393</v>
      </c>
      <c r="F63" s="8" t="s">
        <v>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3" min="3" style="1" width="52"/>
    <col collapsed="false" customWidth="true" hidden="false" outlineLevel="0" max="4" min="4" style="1" width="26"/>
    <col collapsed="false" customWidth="true" hidden="false" outlineLevel="0" max="5" min="5" style="1" width="40"/>
    <col collapsed="false" customWidth="true" hidden="false" outlineLevel="0" max="6" min="6" style="1" width="20"/>
    <col collapsed="false" customWidth="true" hidden="false" outlineLevel="0" max="7" min="7" style="1" width="60"/>
  </cols>
  <sheetData>
    <row r="1" customFormat="false" ht="15" hidden="false" customHeight="true" outlineLevel="0" collapsed="false">
      <c r="A1" s="7" t="s">
        <v>788</v>
      </c>
      <c r="B1" s="7" t="s">
        <v>789</v>
      </c>
      <c r="C1" s="7" t="s">
        <v>790</v>
      </c>
      <c r="D1" s="7" t="s">
        <v>791</v>
      </c>
      <c r="E1" s="7" t="s">
        <v>625</v>
      </c>
      <c r="F1" s="7" t="s">
        <v>792</v>
      </c>
      <c r="G1" s="7" t="s">
        <v>653</v>
      </c>
    </row>
    <row r="2" customFormat="false" ht="15" hidden="false" customHeight="true" outlineLevel="0" collapsed="false">
      <c r="A2" s="8" t="s">
        <v>255</v>
      </c>
      <c r="B2" s="8" t="s">
        <v>793</v>
      </c>
      <c r="C2" s="8" t="s">
        <v>794</v>
      </c>
      <c r="D2" s="8" t="s">
        <v>442</v>
      </c>
      <c r="E2" s="8" t="s">
        <v>795</v>
      </c>
      <c r="F2" s="8"/>
      <c r="G2" s="8" t="s">
        <v>796</v>
      </c>
    </row>
    <row r="3" customFormat="false" ht="23.25" hidden="false" customHeight="true" outlineLevel="0" collapsed="false">
      <c r="A3" s="8" t="s">
        <v>255</v>
      </c>
      <c r="B3" s="8" t="s">
        <v>797</v>
      </c>
      <c r="C3" s="8" t="s">
        <v>798</v>
      </c>
      <c r="D3" s="8" t="s">
        <v>260</v>
      </c>
      <c r="E3" s="8" t="s">
        <v>799</v>
      </c>
      <c r="F3" s="12"/>
      <c r="G3" s="8" t="s">
        <v>800</v>
      </c>
    </row>
    <row r="4" customFormat="false" ht="15" hidden="false" customHeight="true" outlineLevel="0" collapsed="false">
      <c r="A4" s="8" t="s">
        <v>260</v>
      </c>
      <c r="B4" s="8" t="s">
        <v>793</v>
      </c>
      <c r="C4" s="8" t="s">
        <v>801</v>
      </c>
      <c r="D4" s="8" t="s">
        <v>442</v>
      </c>
      <c r="E4" s="8" t="s">
        <v>802</v>
      </c>
      <c r="F4" s="8"/>
      <c r="G4" s="8" t="s">
        <v>803</v>
      </c>
    </row>
    <row r="5" customFormat="false" ht="15" hidden="false" customHeight="true" outlineLevel="0" collapsed="false">
      <c r="A5" s="8" t="s">
        <v>260</v>
      </c>
      <c r="B5" s="8" t="s">
        <v>797</v>
      </c>
      <c r="C5" s="8" t="s">
        <v>804</v>
      </c>
      <c r="D5" s="8" t="s">
        <v>263</v>
      </c>
      <c r="E5" s="8" t="s">
        <v>805</v>
      </c>
      <c r="F5" s="12"/>
      <c r="G5" s="8"/>
    </row>
    <row r="6" customFormat="false" ht="15" hidden="false" customHeight="true" outlineLevel="0" collapsed="false">
      <c r="A6" s="8" t="s">
        <v>263</v>
      </c>
      <c r="B6" s="8" t="s">
        <v>793</v>
      </c>
      <c r="C6" s="8" t="s">
        <v>806</v>
      </c>
      <c r="D6" s="8" t="s">
        <v>442</v>
      </c>
      <c r="E6" s="8" t="s">
        <v>807</v>
      </c>
      <c r="F6" s="8"/>
      <c r="G6" s="8" t="s">
        <v>808</v>
      </c>
    </row>
    <row r="7" customFormat="false" ht="15" hidden="false" customHeight="true" outlineLevel="0" collapsed="false">
      <c r="A7" s="8" t="s">
        <v>263</v>
      </c>
      <c r="B7" s="8" t="s">
        <v>809</v>
      </c>
      <c r="C7" s="8" t="s">
        <v>804</v>
      </c>
      <c r="D7" s="8" t="s">
        <v>810</v>
      </c>
      <c r="E7" s="8" t="s">
        <v>811</v>
      </c>
      <c r="F7" s="12"/>
      <c r="G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7" min="4" style="1" width="9"/>
    <col collapsed="false" customWidth="true" hidden="false" outlineLevel="0" max="11" min="8" style="1" width="10"/>
    <col collapsed="false" customWidth="true" hidden="false" outlineLevel="0" max="12" min="12" style="1" width="18"/>
    <col collapsed="false" customWidth="true" hidden="false" outlineLevel="0" max="13" min="13" style="1" width="40"/>
  </cols>
  <sheetData>
    <row r="1" customFormat="false" ht="15" hidden="false" customHeight="true" outlineLevel="0" collapsed="false">
      <c r="A1" s="7" t="s">
        <v>427</v>
      </c>
      <c r="B1" s="7" t="s">
        <v>812</v>
      </c>
      <c r="C1" s="7" t="s">
        <v>813</v>
      </c>
      <c r="D1" s="7" t="s">
        <v>814</v>
      </c>
      <c r="E1" s="7" t="s">
        <v>815</v>
      </c>
      <c r="F1" s="7" t="s">
        <v>816</v>
      </c>
      <c r="G1" s="7" t="s">
        <v>817</v>
      </c>
      <c r="H1" s="7" t="s">
        <v>818</v>
      </c>
      <c r="I1" s="7" t="s">
        <v>819</v>
      </c>
      <c r="J1" s="7" t="s">
        <v>820</v>
      </c>
      <c r="K1" s="7" t="s">
        <v>821</v>
      </c>
      <c r="L1" s="7" t="s">
        <v>822</v>
      </c>
      <c r="M1" s="7" t="s">
        <v>823</v>
      </c>
    </row>
    <row r="2" customFormat="false" ht="15" hidden="false" customHeight="true" outlineLevel="0" collapsed="false">
      <c r="A2" s="8" t="s">
        <v>255</v>
      </c>
      <c r="B2" s="8" t="s">
        <v>824</v>
      </c>
      <c r="C2" s="8" t="s">
        <v>825</v>
      </c>
      <c r="D2" s="12"/>
      <c r="E2" s="12"/>
      <c r="F2" s="12"/>
      <c r="G2" s="12"/>
      <c r="H2" s="12"/>
      <c r="I2" s="12"/>
      <c r="J2" s="12"/>
      <c r="K2" s="12"/>
      <c r="L2" s="12"/>
      <c r="M2" s="12"/>
    </row>
    <row r="3" customFormat="false" ht="15" hidden="false" customHeight="true" outlineLevel="0" collapsed="false">
      <c r="A3" s="8" t="s">
        <v>260</v>
      </c>
      <c r="B3" s="8" t="s">
        <v>824</v>
      </c>
      <c r="C3" s="8" t="s">
        <v>825</v>
      </c>
      <c r="D3" s="12"/>
      <c r="E3" s="12"/>
      <c r="F3" s="12"/>
      <c r="G3" s="12"/>
      <c r="H3" s="12"/>
      <c r="I3" s="12"/>
      <c r="J3" s="12"/>
      <c r="K3" s="12"/>
      <c r="L3" s="12"/>
      <c r="M3" s="12"/>
    </row>
    <row r="4" customFormat="false" ht="23.25" hidden="false" customHeight="true" outlineLevel="0" collapsed="false">
      <c r="A4" s="8" t="s">
        <v>263</v>
      </c>
      <c r="B4" s="8" t="s">
        <v>826</v>
      </c>
      <c r="C4" s="8" t="s">
        <v>827</v>
      </c>
      <c r="D4" s="12"/>
      <c r="E4" s="12"/>
      <c r="F4" s="12"/>
      <c r="G4" s="12"/>
      <c r="H4" s="12"/>
      <c r="I4" s="12"/>
      <c r="J4" s="12"/>
      <c r="K4" s="12"/>
      <c r="L4" s="12"/>
      <c r="M4" s="12"/>
    </row>
    <row r="5" customFormat="false" ht="15" hidden="false" customHeight="true" outlineLevel="0" collapsed="false">
      <c r="A5" s="8" t="s">
        <v>442</v>
      </c>
      <c r="B5" s="8" t="s">
        <v>828</v>
      </c>
      <c r="C5" s="8" t="s">
        <v>828</v>
      </c>
      <c r="D5" s="12"/>
      <c r="E5" s="12"/>
      <c r="F5" s="12"/>
      <c r="G5" s="12"/>
      <c r="H5" s="12"/>
      <c r="I5" s="12"/>
      <c r="J5" s="12"/>
      <c r="K5" s="12"/>
      <c r="L5" s="12"/>
      <c r="M5" s="12"/>
    </row>
    <row r="7" customFormat="false" ht="15" hidden="false" customHeight="true" outlineLevel="0" collapsed="false">
      <c r="A7" s="13" t="s">
        <v>829</v>
      </c>
      <c r="B7" s="13" t="s">
        <v>830</v>
      </c>
      <c r="C7" s="13" t="s">
        <v>831</v>
      </c>
      <c r="D7" s="13" t="n">
        <v>100</v>
      </c>
      <c r="E7" s="13" t="n">
        <v>110</v>
      </c>
      <c r="F7" s="13" t="n">
        <v>18</v>
      </c>
      <c r="G7" s="13" t="n">
        <v>22</v>
      </c>
      <c r="H7" s="13" t="n">
        <v>95</v>
      </c>
      <c r="I7" s="13" t="n">
        <v>97</v>
      </c>
      <c r="J7" s="13" t="n">
        <v>110</v>
      </c>
      <c r="K7" s="13" t="n">
        <v>130</v>
      </c>
      <c r="L7" s="13" t="s">
        <v>832</v>
      </c>
      <c r="M7" s="13" t="s">
        <v>833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4"/>
    <col collapsed="false" customWidth="true" hidden="false" outlineLevel="0" max="3" min="3" style="1" width="44"/>
  </cols>
  <sheetData>
    <row r="1" customFormat="false" ht="15" hidden="false" customHeight="true" outlineLevel="0" collapsed="false">
      <c r="A1" s="7" t="s">
        <v>265</v>
      </c>
      <c r="B1" s="7" t="s">
        <v>834</v>
      </c>
      <c r="C1" s="7" t="s">
        <v>241</v>
      </c>
    </row>
    <row r="2" customFormat="false" ht="15" hidden="false" customHeight="true" outlineLevel="0" collapsed="false">
      <c r="A2" s="8" t="s">
        <v>835</v>
      </c>
      <c r="B2" s="8" t="s">
        <v>836</v>
      </c>
      <c r="C2" s="8" t="s">
        <v>837</v>
      </c>
    </row>
    <row r="3" customFormat="false" ht="15" hidden="false" customHeight="true" outlineLevel="0" collapsed="false">
      <c r="A3" s="8" t="s">
        <v>835</v>
      </c>
      <c r="B3" s="8" t="s">
        <v>838</v>
      </c>
      <c r="C3" s="8" t="s">
        <v>837</v>
      </c>
    </row>
    <row r="4" customFormat="false" ht="15" hidden="false" customHeight="true" outlineLevel="0" collapsed="false">
      <c r="A4" s="8" t="s">
        <v>835</v>
      </c>
      <c r="B4" s="8" t="s">
        <v>839</v>
      </c>
      <c r="C4" s="8" t="s">
        <v>837</v>
      </c>
    </row>
    <row r="5" customFormat="false" ht="15" hidden="false" customHeight="true" outlineLevel="0" collapsed="false">
      <c r="A5" s="8" t="s">
        <v>835</v>
      </c>
      <c r="B5" s="8" t="s">
        <v>840</v>
      </c>
      <c r="C5" s="8" t="s">
        <v>837</v>
      </c>
    </row>
    <row r="6" customFormat="false" ht="15" hidden="false" customHeight="true" outlineLevel="0" collapsed="false">
      <c r="A6" s="8" t="s">
        <v>835</v>
      </c>
      <c r="B6" s="8" t="s">
        <v>841</v>
      </c>
      <c r="C6" s="8" t="s">
        <v>837</v>
      </c>
    </row>
    <row r="7" customFormat="false" ht="15" hidden="false" customHeight="true" outlineLevel="0" collapsed="false">
      <c r="A7" s="8" t="s">
        <v>835</v>
      </c>
      <c r="B7" s="8" t="s">
        <v>842</v>
      </c>
      <c r="C7" s="8" t="s">
        <v>837</v>
      </c>
    </row>
    <row r="8" customFormat="false" ht="15" hidden="false" customHeight="true" outlineLevel="0" collapsed="false">
      <c r="A8" s="8" t="s">
        <v>835</v>
      </c>
      <c r="B8" s="8" t="s">
        <v>843</v>
      </c>
      <c r="C8" s="8" t="s">
        <v>837</v>
      </c>
    </row>
    <row r="9" customFormat="false" ht="15" hidden="false" customHeight="true" outlineLevel="0" collapsed="false">
      <c r="A9" s="8" t="s">
        <v>835</v>
      </c>
      <c r="B9" s="8" t="s">
        <v>844</v>
      </c>
      <c r="C9" s="8" t="s">
        <v>837</v>
      </c>
    </row>
    <row r="10" customFormat="false" ht="15" hidden="false" customHeight="true" outlineLevel="0" collapsed="false">
      <c r="A10" s="8" t="s">
        <v>835</v>
      </c>
      <c r="B10" s="8" t="s">
        <v>845</v>
      </c>
      <c r="C10" s="8" t="s">
        <v>837</v>
      </c>
    </row>
    <row r="11" customFormat="false" ht="15" hidden="false" customHeight="true" outlineLevel="0" collapsed="false">
      <c r="A11" s="8" t="s">
        <v>846</v>
      </c>
      <c r="B11" s="8" t="s">
        <v>847</v>
      </c>
      <c r="C11" s="8" t="s">
        <v>837</v>
      </c>
    </row>
    <row r="12" customFormat="false" ht="15" hidden="false" customHeight="true" outlineLevel="0" collapsed="false">
      <c r="A12" s="8" t="s">
        <v>846</v>
      </c>
      <c r="B12" s="8" t="s">
        <v>848</v>
      </c>
      <c r="C12" s="8" t="s">
        <v>837</v>
      </c>
    </row>
    <row r="13" customFormat="false" ht="15" hidden="false" customHeight="true" outlineLevel="0" collapsed="false">
      <c r="A13" s="8" t="s">
        <v>846</v>
      </c>
      <c r="B13" s="8" t="s">
        <v>849</v>
      </c>
      <c r="C13" s="8" t="s">
        <v>837</v>
      </c>
    </row>
    <row r="14" customFormat="false" ht="15" hidden="false" customHeight="true" outlineLevel="0" collapsed="false">
      <c r="A14" s="8" t="s">
        <v>850</v>
      </c>
      <c r="B14" s="8" t="s">
        <v>851</v>
      </c>
      <c r="C14" s="8" t="s">
        <v>837</v>
      </c>
    </row>
    <row r="15" customFormat="false" ht="15" hidden="false" customHeight="true" outlineLevel="0" collapsed="false">
      <c r="A15" s="8" t="s">
        <v>850</v>
      </c>
      <c r="B15" s="8" t="s">
        <v>852</v>
      </c>
      <c r="C15" s="8" t="s">
        <v>837</v>
      </c>
    </row>
    <row r="16" customFormat="false" ht="15" hidden="false" customHeight="true" outlineLevel="0" collapsed="false">
      <c r="A16" s="8" t="s">
        <v>850</v>
      </c>
      <c r="B16" s="8" t="s">
        <v>853</v>
      </c>
      <c r="C16" s="8" t="s">
        <v>837</v>
      </c>
    </row>
    <row r="17" customFormat="false" ht="15" hidden="false" customHeight="true" outlineLevel="0" collapsed="false">
      <c r="A17" s="8" t="s">
        <v>850</v>
      </c>
      <c r="B17" s="8" t="s">
        <v>854</v>
      </c>
      <c r="C17" s="8" t="s">
        <v>837</v>
      </c>
    </row>
    <row r="18" customFormat="false" ht="15" hidden="false" customHeight="true" outlineLevel="0" collapsed="false">
      <c r="A18" s="8" t="s">
        <v>850</v>
      </c>
      <c r="B18" s="8" t="s">
        <v>855</v>
      </c>
      <c r="C18" s="8" t="s">
        <v>837</v>
      </c>
    </row>
    <row r="19" customFormat="false" ht="15" hidden="false" customHeight="true" outlineLevel="0" collapsed="false">
      <c r="A19" s="8" t="s">
        <v>850</v>
      </c>
      <c r="B19" s="8" t="s">
        <v>856</v>
      </c>
      <c r="C19" s="8" t="s">
        <v>837</v>
      </c>
    </row>
    <row r="20" customFormat="false" ht="15" hidden="false" customHeight="true" outlineLevel="0" collapsed="false">
      <c r="A20" s="8" t="s">
        <v>857</v>
      </c>
      <c r="B20" s="8" t="s">
        <v>858</v>
      </c>
      <c r="C20" s="8" t="s">
        <v>859</v>
      </c>
    </row>
    <row r="21" customFormat="false" ht="15" hidden="false" customHeight="true" outlineLevel="0" collapsed="false">
      <c r="A21" s="8" t="s">
        <v>857</v>
      </c>
      <c r="B21" s="8" t="s">
        <v>860</v>
      </c>
      <c r="C21" s="8" t="s">
        <v>859</v>
      </c>
    </row>
    <row r="22" customFormat="false" ht="15" hidden="false" customHeight="true" outlineLevel="0" collapsed="false">
      <c r="A22" s="8" t="s">
        <v>857</v>
      </c>
      <c r="B22" s="8" t="s">
        <v>861</v>
      </c>
      <c r="C22" s="8" t="s">
        <v>859</v>
      </c>
    </row>
    <row r="23" customFormat="false" ht="15" hidden="false" customHeight="true" outlineLevel="0" collapsed="false">
      <c r="A23" s="8" t="s">
        <v>857</v>
      </c>
      <c r="B23" s="8" t="s">
        <v>862</v>
      </c>
      <c r="C23" s="8" t="s">
        <v>859</v>
      </c>
    </row>
    <row r="24" customFormat="false" ht="15" hidden="false" customHeight="true" outlineLevel="0" collapsed="false">
      <c r="A24" s="8" t="s">
        <v>857</v>
      </c>
      <c r="B24" s="8" t="s">
        <v>863</v>
      </c>
      <c r="C24" s="8" t="s">
        <v>859</v>
      </c>
    </row>
    <row r="25" customFormat="false" ht="15" hidden="false" customHeight="true" outlineLevel="0" collapsed="false">
      <c r="A25" s="8" t="s">
        <v>857</v>
      </c>
      <c r="B25" s="8" t="s">
        <v>864</v>
      </c>
      <c r="C25" s="8" t="s">
        <v>865</v>
      </c>
    </row>
    <row r="26" customFormat="false" ht="15" hidden="false" customHeight="true" outlineLevel="0" collapsed="false">
      <c r="A26" s="8" t="s">
        <v>857</v>
      </c>
      <c r="B26" s="8" t="s">
        <v>866</v>
      </c>
      <c r="C26" s="8" t="s">
        <v>867</v>
      </c>
    </row>
    <row r="27" customFormat="false" ht="15" hidden="false" customHeight="true" outlineLevel="0" collapsed="false">
      <c r="A27" s="8" t="s">
        <v>868</v>
      </c>
      <c r="B27" s="8" t="s">
        <v>869</v>
      </c>
      <c r="C27" s="8" t="s">
        <v>870</v>
      </c>
    </row>
    <row r="28" customFormat="false" ht="15" hidden="false" customHeight="true" outlineLevel="0" collapsed="false">
      <c r="A28" s="8" t="s">
        <v>868</v>
      </c>
      <c r="B28" s="8" t="s">
        <v>871</v>
      </c>
      <c r="C28" s="8" t="s">
        <v>870</v>
      </c>
    </row>
    <row r="29" customFormat="false" ht="15" hidden="false" customHeight="true" outlineLevel="0" collapsed="false">
      <c r="A29" s="8" t="s">
        <v>868</v>
      </c>
      <c r="B29" s="8" t="s">
        <v>872</v>
      </c>
      <c r="C29" s="8" t="s">
        <v>870</v>
      </c>
    </row>
    <row r="30" customFormat="false" ht="15" hidden="false" customHeight="true" outlineLevel="0" collapsed="false">
      <c r="A30" s="8" t="s">
        <v>873</v>
      </c>
      <c r="B30" s="8" t="s">
        <v>874</v>
      </c>
      <c r="C30" s="8" t="s">
        <v>870</v>
      </c>
    </row>
    <row r="31" customFormat="false" ht="15" hidden="false" customHeight="true" outlineLevel="0" collapsed="false">
      <c r="A31" s="8" t="s">
        <v>873</v>
      </c>
      <c r="B31" s="8" t="s">
        <v>875</v>
      </c>
      <c r="C31" s="8" t="s">
        <v>870</v>
      </c>
    </row>
    <row r="32" customFormat="false" ht="15" hidden="false" customHeight="true" outlineLevel="0" collapsed="false">
      <c r="A32" s="8" t="s">
        <v>873</v>
      </c>
      <c r="B32" s="8" t="s">
        <v>876</v>
      </c>
      <c r="C32" s="8" t="s">
        <v>870</v>
      </c>
    </row>
    <row r="33" customFormat="false" ht="15" hidden="false" customHeight="true" outlineLevel="0" collapsed="false">
      <c r="A33" s="8" t="s">
        <v>873</v>
      </c>
      <c r="B33" s="8" t="s">
        <v>877</v>
      </c>
      <c r="C33" s="8" t="s">
        <v>870</v>
      </c>
    </row>
    <row r="34" customFormat="false" ht="15" hidden="false" customHeight="true" outlineLevel="0" collapsed="false">
      <c r="A34" s="8" t="s">
        <v>873</v>
      </c>
      <c r="B34" s="8" t="s">
        <v>878</v>
      </c>
      <c r="C34" s="8" t="s">
        <v>870</v>
      </c>
    </row>
    <row r="35" customFormat="false" ht="15" hidden="false" customHeight="true" outlineLevel="0" collapsed="false">
      <c r="A35" s="8" t="s">
        <v>879</v>
      </c>
      <c r="B35" s="8" t="s">
        <v>880</v>
      </c>
      <c r="C35" s="8" t="s">
        <v>859</v>
      </c>
    </row>
    <row r="36" customFormat="false" ht="15" hidden="false" customHeight="true" outlineLevel="0" collapsed="false">
      <c r="A36" s="8" t="s">
        <v>879</v>
      </c>
      <c r="B36" s="8" t="s">
        <v>881</v>
      </c>
      <c r="C36" s="8" t="s">
        <v>859</v>
      </c>
    </row>
    <row r="37" customFormat="false" ht="23.25" hidden="false" customHeight="true" outlineLevel="0" collapsed="false">
      <c r="A37" s="8" t="s">
        <v>879</v>
      </c>
      <c r="B37" s="8" t="s">
        <v>882</v>
      </c>
      <c r="C37" s="8" t="s">
        <v>859</v>
      </c>
    </row>
    <row r="38" customFormat="false" ht="23.25" hidden="false" customHeight="true" outlineLevel="0" collapsed="false">
      <c r="A38" s="8" t="s">
        <v>879</v>
      </c>
      <c r="B38" s="8" t="s">
        <v>883</v>
      </c>
      <c r="C38" s="8" t="s">
        <v>859</v>
      </c>
    </row>
    <row r="39" customFormat="false" ht="15" hidden="false" customHeight="true" outlineLevel="0" collapsed="false">
      <c r="A39" s="8" t="s">
        <v>884</v>
      </c>
      <c r="B39" s="8" t="s">
        <v>885</v>
      </c>
      <c r="C39" s="8" t="s">
        <v>886</v>
      </c>
    </row>
    <row r="40" customFormat="false" ht="15" hidden="false" customHeight="true" outlineLevel="0" collapsed="false">
      <c r="A40" s="8" t="s">
        <v>884</v>
      </c>
      <c r="B40" s="8" t="s">
        <v>887</v>
      </c>
      <c r="C40" s="8" t="s">
        <v>886</v>
      </c>
    </row>
    <row r="41" customFormat="false" ht="15" hidden="false" customHeight="true" outlineLevel="0" collapsed="false">
      <c r="A41" s="8" t="s">
        <v>884</v>
      </c>
      <c r="B41" s="8" t="s">
        <v>888</v>
      </c>
      <c r="C41" s="8" t="s">
        <v>886</v>
      </c>
    </row>
    <row r="42" customFormat="false" ht="15" hidden="false" customHeight="true" outlineLevel="0" collapsed="false">
      <c r="A42" s="8" t="s">
        <v>884</v>
      </c>
      <c r="B42" s="8" t="s">
        <v>889</v>
      </c>
      <c r="C42" s="8" t="s">
        <v>886</v>
      </c>
    </row>
    <row r="43" customFormat="false" ht="15" hidden="false" customHeight="true" outlineLevel="0" collapsed="false">
      <c r="A43" s="8" t="s">
        <v>884</v>
      </c>
      <c r="B43" s="8" t="s">
        <v>890</v>
      </c>
      <c r="C43" s="8" t="s">
        <v>886</v>
      </c>
    </row>
    <row r="44" customFormat="false" ht="15" hidden="false" customHeight="true" outlineLevel="0" collapsed="false">
      <c r="A44" s="8" t="s">
        <v>884</v>
      </c>
      <c r="B44" s="8" t="s">
        <v>891</v>
      </c>
      <c r="C44" s="8" t="s">
        <v>886</v>
      </c>
    </row>
    <row r="45" customFormat="false" ht="15" hidden="false" customHeight="true" outlineLevel="0" collapsed="false">
      <c r="A45" s="8" t="s">
        <v>884</v>
      </c>
      <c r="B45" s="8" t="s">
        <v>892</v>
      </c>
      <c r="C45" s="8" t="s">
        <v>886</v>
      </c>
    </row>
    <row r="46" customFormat="false" ht="15" hidden="false" customHeight="true" outlineLevel="0" collapsed="false">
      <c r="A46" s="8" t="s">
        <v>884</v>
      </c>
      <c r="B46" s="8" t="s">
        <v>893</v>
      </c>
      <c r="C46" s="8" t="s">
        <v>886</v>
      </c>
    </row>
    <row r="47" customFormat="false" ht="15" hidden="false" customHeight="true" outlineLevel="0" collapsed="false">
      <c r="A47" s="1" t="s">
        <v>894</v>
      </c>
      <c r="B47" s="1" t="s">
        <v>895</v>
      </c>
      <c r="C47" s="1" t="s">
        <v>896</v>
      </c>
    </row>
    <row r="48" customFormat="false" ht="15" hidden="false" customHeight="true" outlineLevel="0" collapsed="false">
      <c r="A48" s="1" t="s">
        <v>894</v>
      </c>
      <c r="B48" s="1" t="s">
        <v>897</v>
      </c>
      <c r="C48" s="1" t="s">
        <v>896</v>
      </c>
    </row>
    <row r="49" customFormat="false" ht="15" hidden="false" customHeight="true" outlineLevel="0" collapsed="false">
      <c r="A49" s="1" t="s">
        <v>894</v>
      </c>
      <c r="B49" s="1" t="s">
        <v>898</v>
      </c>
      <c r="C49" s="1" t="s">
        <v>899</v>
      </c>
    </row>
    <row r="50" customFormat="false" ht="15" hidden="false" customHeight="true" outlineLevel="0" collapsed="false">
      <c r="A50" s="1" t="s">
        <v>894</v>
      </c>
      <c r="B50" s="1" t="s">
        <v>900</v>
      </c>
      <c r="C50" s="1" t="s">
        <v>899</v>
      </c>
    </row>
    <row r="51" customFormat="false" ht="15" hidden="false" customHeight="true" outlineLevel="0" collapsed="false">
      <c r="A51" s="1" t="s">
        <v>894</v>
      </c>
      <c r="B51" s="1" t="s">
        <v>901</v>
      </c>
      <c r="C51" s="1" t="s">
        <v>902</v>
      </c>
    </row>
    <row r="52" customFormat="false" ht="15" hidden="false" customHeight="true" outlineLevel="0" collapsed="false">
      <c r="A52" s="1" t="s">
        <v>894</v>
      </c>
      <c r="B52" s="1" t="s">
        <v>903</v>
      </c>
      <c r="C52" s="1" t="s">
        <v>904</v>
      </c>
    </row>
    <row r="53" customFormat="false" ht="15" hidden="false" customHeight="true" outlineLevel="0" collapsed="false">
      <c r="A53" s="1" t="s">
        <v>905</v>
      </c>
      <c r="B53" s="1" t="s">
        <v>906</v>
      </c>
      <c r="C53" s="1" t="s">
        <v>899</v>
      </c>
    </row>
    <row r="54" customFormat="false" ht="15" hidden="false" customHeight="true" outlineLevel="0" collapsed="false">
      <c r="A54" s="1" t="s">
        <v>905</v>
      </c>
      <c r="B54" s="1" t="s">
        <v>907</v>
      </c>
      <c r="C54" s="1" t="s">
        <v>899</v>
      </c>
    </row>
    <row r="55" customFormat="false" ht="15" hidden="false" customHeight="true" outlineLevel="0" collapsed="false">
      <c r="A55" s="1" t="s">
        <v>908</v>
      </c>
      <c r="B55" s="1" t="s">
        <v>909</v>
      </c>
      <c r="C55" s="1" t="s">
        <v>910</v>
      </c>
    </row>
    <row r="56" customFormat="false" ht="15" hidden="false" customHeight="true" outlineLevel="0" collapsed="false">
      <c r="A56" s="1" t="s">
        <v>911</v>
      </c>
      <c r="B56" s="1" t="s">
        <v>912</v>
      </c>
      <c r="C56" s="1" t="s">
        <v>913</v>
      </c>
    </row>
    <row r="57" customFormat="false" ht="15" hidden="false" customHeight="true" outlineLevel="0" collapsed="false">
      <c r="A57" s="1" t="s">
        <v>914</v>
      </c>
      <c r="B57" s="1" t="s">
        <v>915</v>
      </c>
      <c r="C57" s="1" t="s">
        <v>899</v>
      </c>
    </row>
    <row r="58" customFormat="false" ht="15" hidden="false" customHeight="true" outlineLevel="0" collapsed="false">
      <c r="A58" s="1" t="s">
        <v>916</v>
      </c>
      <c r="B58" s="1" t="s">
        <v>917</v>
      </c>
      <c r="C58" s="1" t="s">
        <v>899</v>
      </c>
    </row>
    <row r="59" customFormat="false" ht="15" hidden="false" customHeight="true" outlineLevel="0" collapsed="false">
      <c r="A59" s="1" t="s">
        <v>918</v>
      </c>
      <c r="B59" s="1" t="s">
        <v>919</v>
      </c>
      <c r="C59" s="1" t="s">
        <v>899</v>
      </c>
    </row>
    <row r="60" customFormat="false" ht="15" hidden="false" customHeight="true" outlineLevel="0" collapsed="false">
      <c r="A60" s="1" t="s">
        <v>918</v>
      </c>
      <c r="B60" s="1" t="s">
        <v>920</v>
      </c>
      <c r="C60" s="1" t="s">
        <v>899</v>
      </c>
    </row>
    <row r="61" customFormat="false" ht="15" hidden="false" customHeight="true" outlineLevel="0" collapsed="false">
      <c r="A61" s="1" t="s">
        <v>921</v>
      </c>
      <c r="B61" s="1" t="s">
        <v>922</v>
      </c>
      <c r="C61" s="1" t="s">
        <v>923</v>
      </c>
    </row>
    <row r="62" customFormat="false" ht="15" hidden="false" customHeight="true" outlineLevel="0" collapsed="false">
      <c r="A62" s="1" t="s">
        <v>924</v>
      </c>
      <c r="B62" s="1" t="s">
        <v>925</v>
      </c>
      <c r="C62" s="1" t="s">
        <v>902</v>
      </c>
    </row>
    <row r="63" customFormat="false" ht="15" hidden="false" customHeight="true" outlineLevel="0" collapsed="false">
      <c r="A63" s="1" t="s">
        <v>926</v>
      </c>
      <c r="B63" s="1" t="s">
        <v>927</v>
      </c>
      <c r="C63" s="1" t="s">
        <v>928</v>
      </c>
    </row>
    <row r="64" customFormat="false" ht="15" hidden="false" customHeight="true" outlineLevel="0" collapsed="false">
      <c r="A64" s="1" t="s">
        <v>857</v>
      </c>
      <c r="B64" s="1" t="s">
        <v>929</v>
      </c>
      <c r="C64" s="1" t="s">
        <v>930</v>
      </c>
    </row>
    <row r="65" customFormat="false" ht="15" hidden="false" customHeight="true" outlineLevel="0" collapsed="false">
      <c r="A65" s="1" t="s">
        <v>857</v>
      </c>
      <c r="B65" s="1" t="s">
        <v>931</v>
      </c>
      <c r="C65" s="1" t="s">
        <v>930</v>
      </c>
    </row>
    <row r="66" customFormat="false" ht="15" hidden="false" customHeight="true" outlineLevel="0" collapsed="false">
      <c r="A66" s="1" t="s">
        <v>868</v>
      </c>
      <c r="B66" s="1" t="s">
        <v>932</v>
      </c>
      <c r="C66" s="1" t="s">
        <v>859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0"/>
    <col collapsed="false" customWidth="true" hidden="false" outlineLevel="0" max="3" min="3" style="1" width="26"/>
    <col collapsed="false" customWidth="true" hidden="false" outlineLevel="0" max="4" min="4" style="1" width="12"/>
    <col collapsed="false" customWidth="true" hidden="false" outlineLevel="0" max="5" min="5" style="1" width="16"/>
    <col collapsed="false" customWidth="true" hidden="false" outlineLevel="0" max="6" min="6" style="1" width="40"/>
    <col collapsed="false" customWidth="true" hidden="false" outlineLevel="0" max="7" min="7" style="1" width="20"/>
  </cols>
  <sheetData>
    <row r="1" customFormat="false" ht="15" hidden="false" customHeight="true" outlineLevel="0" collapsed="false">
      <c r="A1" s="7" t="s">
        <v>834</v>
      </c>
      <c r="B1" s="7" t="s">
        <v>933</v>
      </c>
      <c r="C1" s="7" t="s">
        <v>241</v>
      </c>
      <c r="D1" s="7" t="s">
        <v>651</v>
      </c>
      <c r="E1" s="7" t="s">
        <v>934</v>
      </c>
      <c r="F1" s="7" t="s">
        <v>935</v>
      </c>
      <c r="G1" s="7" t="s">
        <v>936</v>
      </c>
    </row>
    <row r="2" customFormat="false" ht="15" hidden="false" customHeight="true" outlineLevel="0" collapsed="false">
      <c r="A2" s="8" t="s">
        <v>351</v>
      </c>
      <c r="B2" s="8" t="s">
        <v>937</v>
      </c>
      <c r="C2" s="8" t="s">
        <v>354</v>
      </c>
      <c r="D2" s="8" t="s">
        <v>938</v>
      </c>
      <c r="E2" s="8" t="s">
        <v>751</v>
      </c>
      <c r="F2" s="8" t="s">
        <v>939</v>
      </c>
      <c r="G2" s="8" t="s">
        <v>757</v>
      </c>
    </row>
    <row r="3" customFormat="false" ht="15" hidden="false" customHeight="true" outlineLevel="0" collapsed="false">
      <c r="A3" s="8" t="s">
        <v>940</v>
      </c>
      <c r="B3" s="8" t="s">
        <v>941</v>
      </c>
      <c r="C3" s="8" t="s">
        <v>942</v>
      </c>
      <c r="D3" s="8" t="s">
        <v>943</v>
      </c>
      <c r="E3" s="8" t="s">
        <v>751</v>
      </c>
      <c r="F3" s="8" t="s">
        <v>944</v>
      </c>
      <c r="G3" s="8" t="s">
        <v>757</v>
      </c>
    </row>
    <row r="4" customFormat="false" ht="15" hidden="false" customHeight="true" outlineLevel="0" collapsed="false">
      <c r="A4" s="8" t="s">
        <v>945</v>
      </c>
      <c r="B4" s="8" t="s">
        <v>946</v>
      </c>
      <c r="C4" s="8" t="s">
        <v>947</v>
      </c>
      <c r="D4" s="8" t="s">
        <v>948</v>
      </c>
      <c r="E4" s="8" t="s">
        <v>751</v>
      </c>
      <c r="F4" s="8" t="s">
        <v>949</v>
      </c>
      <c r="G4" s="8" t="s">
        <v>757</v>
      </c>
    </row>
    <row r="5" customFormat="false" ht="15" hidden="false" customHeight="true" outlineLevel="0" collapsed="false">
      <c r="A5" s="8" t="s">
        <v>950</v>
      </c>
      <c r="B5" s="8" t="s">
        <v>951</v>
      </c>
      <c r="C5" s="8" t="s">
        <v>952</v>
      </c>
      <c r="D5" s="8" t="s">
        <v>953</v>
      </c>
      <c r="E5" s="8" t="s">
        <v>751</v>
      </c>
      <c r="F5" s="8" t="s">
        <v>954</v>
      </c>
      <c r="G5" s="8" t="s">
        <v>757</v>
      </c>
    </row>
    <row r="6" customFormat="false" ht="15" hidden="false" customHeight="true" outlineLevel="0" collapsed="false">
      <c r="A6" s="8" t="s">
        <v>955</v>
      </c>
      <c r="B6" s="8" t="s">
        <v>956</v>
      </c>
      <c r="C6" s="8" t="s">
        <v>957</v>
      </c>
      <c r="D6" s="8" t="s">
        <v>958</v>
      </c>
      <c r="E6" s="8" t="s">
        <v>751</v>
      </c>
      <c r="F6" s="8" t="s">
        <v>959</v>
      </c>
      <c r="G6" s="8" t="s">
        <v>757</v>
      </c>
    </row>
    <row r="7" customFormat="false" ht="15" hidden="false" customHeight="true" outlineLevel="0" collapsed="false">
      <c r="A7" s="8" t="s">
        <v>960</v>
      </c>
      <c r="B7" s="8" t="s">
        <v>961</v>
      </c>
      <c r="C7" s="8" t="s">
        <v>947</v>
      </c>
      <c r="D7" s="8" t="s">
        <v>962</v>
      </c>
      <c r="E7" s="8" t="s">
        <v>751</v>
      </c>
      <c r="F7" s="8" t="s">
        <v>949</v>
      </c>
      <c r="G7" s="8" t="s">
        <v>757</v>
      </c>
    </row>
    <row r="8" customFormat="false" ht="15" hidden="false" customHeight="true" outlineLevel="0" collapsed="false">
      <c r="A8" s="8" t="s">
        <v>963</v>
      </c>
      <c r="B8" s="8" t="s">
        <v>964</v>
      </c>
      <c r="C8" s="8" t="s">
        <v>359</v>
      </c>
      <c r="D8" s="8" t="s">
        <v>965</v>
      </c>
      <c r="E8" s="8" t="s">
        <v>751</v>
      </c>
      <c r="F8" s="8" t="s">
        <v>966</v>
      </c>
      <c r="G8" s="8" t="s">
        <v>757</v>
      </c>
    </row>
    <row r="9" customFormat="false" ht="15" hidden="false" customHeight="true" outlineLevel="0" collapsed="false">
      <c r="A9" s="8" t="s">
        <v>967</v>
      </c>
      <c r="B9" s="8" t="s">
        <v>968</v>
      </c>
      <c r="C9" s="8" t="s">
        <v>947</v>
      </c>
      <c r="D9" s="8" t="s">
        <v>969</v>
      </c>
      <c r="E9" s="8" t="s">
        <v>751</v>
      </c>
      <c r="F9" s="8" t="s">
        <v>970</v>
      </c>
      <c r="G9" s="8" t="s">
        <v>757</v>
      </c>
    </row>
    <row r="10" customFormat="false" ht="15" hidden="false" customHeight="true" outlineLevel="0" collapsed="false">
      <c r="A10" s="8" t="s">
        <v>971</v>
      </c>
      <c r="B10" s="8" t="s">
        <v>972</v>
      </c>
      <c r="C10" s="8" t="s">
        <v>952</v>
      </c>
      <c r="D10" s="8" t="s">
        <v>973</v>
      </c>
      <c r="E10" s="8" t="s">
        <v>751</v>
      </c>
      <c r="F10" s="8" t="s">
        <v>974</v>
      </c>
      <c r="G10" s="8" t="s">
        <v>757</v>
      </c>
    </row>
    <row r="11" customFormat="false" ht="23.25" hidden="false" customHeight="true" outlineLevel="0" collapsed="false">
      <c r="A11" s="8" t="s">
        <v>975</v>
      </c>
      <c r="B11" s="8" t="s">
        <v>976</v>
      </c>
      <c r="C11" s="8" t="s">
        <v>977</v>
      </c>
      <c r="D11" s="8" t="s">
        <v>978</v>
      </c>
      <c r="E11" s="8" t="s">
        <v>751</v>
      </c>
      <c r="F11" s="8" t="s">
        <v>979</v>
      </c>
      <c r="G11" s="8" t="s">
        <v>757</v>
      </c>
    </row>
    <row r="12" customFormat="false" ht="15" hidden="false" customHeight="true" outlineLevel="0" collapsed="false">
      <c r="A12" s="8" t="s">
        <v>980</v>
      </c>
      <c r="B12" s="8" t="s">
        <v>981</v>
      </c>
      <c r="C12" s="8" t="s">
        <v>982</v>
      </c>
      <c r="D12" s="8" t="s">
        <v>983</v>
      </c>
      <c r="E12" s="8" t="s">
        <v>755</v>
      </c>
      <c r="F12" s="8" t="s">
        <v>984</v>
      </c>
      <c r="G12" s="8" t="s">
        <v>757</v>
      </c>
    </row>
    <row r="13" customFormat="false" ht="15" hidden="false" customHeight="true" outlineLevel="0" collapsed="false">
      <c r="A13" s="8" t="s">
        <v>985</v>
      </c>
      <c r="B13" s="8" t="s">
        <v>986</v>
      </c>
      <c r="C13" s="8" t="s">
        <v>947</v>
      </c>
      <c r="D13" s="8" t="s">
        <v>987</v>
      </c>
      <c r="E13" s="8" t="s">
        <v>751</v>
      </c>
      <c r="F13" s="8" t="s">
        <v>949</v>
      </c>
      <c r="G13" s="8" t="s">
        <v>757</v>
      </c>
    </row>
    <row r="14" customFormat="false" ht="34.5" hidden="false" customHeight="true" outlineLevel="0" collapsed="false">
      <c r="A14" s="8" t="s">
        <v>988</v>
      </c>
      <c r="B14" s="8" t="s">
        <v>989</v>
      </c>
      <c r="C14" s="8" t="s">
        <v>312</v>
      </c>
      <c r="D14" s="8" t="s">
        <v>990</v>
      </c>
      <c r="E14" s="8" t="s">
        <v>751</v>
      </c>
      <c r="F14" s="8" t="s">
        <v>949</v>
      </c>
      <c r="G14" s="8" t="s">
        <v>757</v>
      </c>
    </row>
    <row r="15" customFormat="false" ht="23.25" hidden="false" customHeight="true" outlineLevel="0" collapsed="false">
      <c r="A15" s="8" t="s">
        <v>991</v>
      </c>
      <c r="B15" s="8" t="s">
        <v>992</v>
      </c>
      <c r="C15" s="8" t="s">
        <v>993</v>
      </c>
      <c r="D15" s="8" t="s">
        <v>994</v>
      </c>
      <c r="E15" s="8" t="s">
        <v>755</v>
      </c>
      <c r="F15" s="8" t="s">
        <v>995</v>
      </c>
      <c r="G15" s="8" t="s">
        <v>757</v>
      </c>
    </row>
    <row r="16" customFormat="false" ht="15" hidden="false" customHeight="true" outlineLevel="0" collapsed="false">
      <c r="A16" s="8" t="s">
        <v>996</v>
      </c>
      <c r="B16" s="8" t="s">
        <v>997</v>
      </c>
      <c r="C16" s="8" t="s">
        <v>952</v>
      </c>
      <c r="D16" s="8" t="s">
        <v>998</v>
      </c>
      <c r="E16" s="8" t="s">
        <v>755</v>
      </c>
      <c r="F16" s="8" t="s">
        <v>999</v>
      </c>
      <c r="G16" s="8" t="s">
        <v>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8"/>
    <col collapsed="false" customWidth="true" hidden="false" outlineLevel="0" max="3" min="3" style="1" width="78"/>
  </cols>
  <sheetData>
    <row r="1" customFormat="false" ht="15" hidden="false" customHeight="true" outlineLevel="0" collapsed="false">
      <c r="A1" s="14" t="s">
        <v>1000</v>
      </c>
    </row>
    <row r="2" customFormat="false" ht="15" hidden="false" customHeight="true" outlineLevel="0" collapsed="false">
      <c r="A2" s="15" t="s">
        <v>1001</v>
      </c>
    </row>
    <row r="3" customFormat="false" ht="15" hidden="false" customHeight="true" outlineLevel="0" collapsed="false">
      <c r="A3" s="15" t="s">
        <v>1002</v>
      </c>
      <c r="B3" s="12" t="n">
        <v>25</v>
      </c>
      <c r="C3" s="15" t="s">
        <v>1003</v>
      </c>
    </row>
    <row r="4" customFormat="false" ht="15" hidden="false" customHeight="true" outlineLevel="0" collapsed="false">
      <c r="A4" s="15" t="s">
        <v>1004</v>
      </c>
      <c r="B4" s="12" t="n">
        <v>120</v>
      </c>
      <c r="C4" s="15" t="s">
        <v>1005</v>
      </c>
    </row>
    <row r="5" customFormat="false" ht="15" hidden="false" customHeight="true" outlineLevel="0" collapsed="false">
      <c r="A5" s="15" t="s">
        <v>1006</v>
      </c>
      <c r="B5" s="12" t="n">
        <v>85</v>
      </c>
      <c r="C5" s="15" t="s">
        <v>1003</v>
      </c>
    </row>
    <row r="6" customFormat="false" ht="23.25" hidden="false" customHeight="true" outlineLevel="0" collapsed="false">
      <c r="A6" s="15" t="s">
        <v>1007</v>
      </c>
      <c r="B6" s="15" t="n">
        <f aca="false">IF(B3&lt;10,70+2*B3,90)</f>
        <v>90</v>
      </c>
      <c r="C6" s="15" t="s">
        <v>1008</v>
      </c>
    </row>
    <row r="7" customFormat="false" ht="15" hidden="false" customHeight="true" outlineLevel="0" collapsed="false">
      <c r="A7" s="15" t="s">
        <v>1009</v>
      </c>
      <c r="B7" s="15" t="n">
        <f aca="false">IF(B4="","",B4*0.7)</f>
        <v>84</v>
      </c>
      <c r="C7" s="15" t="s">
        <v>1010</v>
      </c>
    </row>
    <row r="8" customFormat="false" ht="15" hidden="false" customHeight="true" outlineLevel="0" collapsed="false">
      <c r="A8" s="15" t="s">
        <v>1011</v>
      </c>
      <c r="B8" s="15" t="str">
        <f aca="false">IF(B5="","",IF(OR(B5&lt;B6,AND(B4&lt;&gt;"",B5&lt;B7)),"HYPOTENSION","Not hypotensive"))</f>
        <v>HYPOTENSION</v>
      </c>
      <c r="C8" s="15" t="s">
        <v>1012</v>
      </c>
    </row>
    <row r="10" customFormat="false" ht="15" hidden="false" customHeight="true" outlineLevel="0" collapsed="false">
      <c r="A10" s="14" t="s">
        <v>1013</v>
      </c>
    </row>
    <row r="11" customFormat="false" ht="15" hidden="false" customHeight="true" outlineLevel="0" collapsed="false">
      <c r="A11" s="15" t="s">
        <v>1014</v>
      </c>
      <c r="B11" s="12" t="n">
        <v>70</v>
      </c>
      <c r="C11" s="15" t="s">
        <v>1015</v>
      </c>
    </row>
    <row r="12" customFormat="false" ht="15" hidden="false" customHeight="true" outlineLevel="0" collapsed="false">
      <c r="A12" s="15" t="s">
        <v>1016</v>
      </c>
      <c r="B12" s="12" t="s">
        <v>1017</v>
      </c>
      <c r="C12" s="15" t="s">
        <v>1018</v>
      </c>
    </row>
    <row r="13" customFormat="false" ht="15" hidden="false" customHeight="true" outlineLevel="0" collapsed="false">
      <c r="A13" s="15" t="s">
        <v>1019</v>
      </c>
      <c r="B13" s="16" t="n">
        <v>1</v>
      </c>
      <c r="C13" s="15" t="s">
        <v>1020</v>
      </c>
    </row>
    <row r="14" customFormat="false" ht="15" hidden="false" customHeight="true" outlineLevel="0" collapsed="false">
      <c r="A14" s="15" t="s">
        <v>1021</v>
      </c>
      <c r="B14" s="17" t="n">
        <f aca="false">MIN(0.01*B11,IF(B12="child",0.3,0.5))</f>
        <v>0.5</v>
      </c>
      <c r="C14" s="15" t="s">
        <v>1022</v>
      </c>
    </row>
    <row r="15" customFormat="false" ht="15" hidden="false" customHeight="true" outlineLevel="0" collapsed="false">
      <c r="A15" s="15" t="s">
        <v>1023</v>
      </c>
      <c r="B15" s="17" t="n">
        <f aca="false">B14/B13</f>
        <v>0.5</v>
      </c>
      <c r="C15" s="15" t="s">
        <v>1024</v>
      </c>
    </row>
  </sheetData>
  <dataValidations count="1">
    <dataValidation allowBlank="false" errorStyle="stop" operator="between" showDropDown="false" showErrorMessage="false" showInputMessage="false" sqref="B12" type="list">
      <formula1>"adult,child"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26"/>
    <col collapsed="false" customWidth="true" hidden="false" outlineLevel="0" max="4" min="4" style="1" width="54"/>
    <col collapsed="false" customWidth="true" hidden="false" outlineLevel="0" max="5" min="5" style="1" width="20"/>
    <col collapsed="false" customWidth="true" hidden="false" outlineLevel="0" max="6" min="6" style="1" width="26"/>
    <col collapsed="false" customWidth="true" hidden="false" outlineLevel="0" max="7" min="7" style="1" width="44"/>
    <col collapsed="false" customWidth="true" hidden="false" outlineLevel="0" max="8" min="8" style="1" width="52"/>
    <col collapsed="false" customWidth="true" hidden="false" outlineLevel="0" max="9" min="9" style="1" width="46"/>
    <col collapsed="false" customWidth="true" hidden="false" outlineLevel="0" max="10" min="10" style="1" width="30"/>
  </cols>
  <sheetData>
    <row r="1" customFormat="false" ht="15" hidden="false" customHeight="true" outlineLevel="0" collapsed="false">
      <c r="A1" s="7" t="s">
        <v>651</v>
      </c>
      <c r="B1" s="7" t="s">
        <v>652</v>
      </c>
      <c r="C1" s="7" t="s">
        <v>1025</v>
      </c>
      <c r="D1" s="7" t="s">
        <v>1026</v>
      </c>
      <c r="E1" s="7" t="s">
        <v>1027</v>
      </c>
      <c r="F1" s="7" t="s">
        <v>1028</v>
      </c>
      <c r="G1" s="7" t="s">
        <v>1029</v>
      </c>
      <c r="H1" s="7" t="s">
        <v>1030</v>
      </c>
      <c r="I1" s="7" t="s">
        <v>1031</v>
      </c>
      <c r="J1" s="7" t="s">
        <v>241</v>
      </c>
    </row>
    <row r="2" customFormat="false" ht="34.5" hidden="false" customHeight="true" outlineLevel="0" collapsed="false">
      <c r="A2" s="8" t="s">
        <v>654</v>
      </c>
      <c r="B2" s="8" t="s">
        <v>1032</v>
      </c>
      <c r="C2" s="8" t="s">
        <v>1033</v>
      </c>
      <c r="D2" s="8" t="s">
        <v>1034</v>
      </c>
      <c r="E2" s="8"/>
      <c r="F2" s="8"/>
      <c r="G2" s="8"/>
      <c r="H2" s="8" t="s">
        <v>1035</v>
      </c>
      <c r="I2" s="8" t="s">
        <v>1036</v>
      </c>
      <c r="J2" s="8" t="s">
        <v>1037</v>
      </c>
    </row>
    <row r="3" customFormat="false" ht="23.25" hidden="false" customHeight="true" outlineLevel="0" collapsed="false">
      <c r="A3" s="8" t="s">
        <v>658</v>
      </c>
      <c r="B3" s="8" t="s">
        <v>1038</v>
      </c>
      <c r="C3" s="8" t="s">
        <v>1039</v>
      </c>
      <c r="D3" s="8" t="s">
        <v>1040</v>
      </c>
      <c r="E3" s="8"/>
      <c r="F3" s="8"/>
      <c r="G3" s="8"/>
      <c r="H3" s="8" t="s">
        <v>1041</v>
      </c>
      <c r="I3" s="8" t="s">
        <v>1036</v>
      </c>
      <c r="J3" s="8" t="s">
        <v>1042</v>
      </c>
    </row>
    <row r="4" customFormat="false" ht="23.25" hidden="false" customHeight="true" outlineLevel="0" collapsed="false">
      <c r="A4" s="8" t="s">
        <v>661</v>
      </c>
      <c r="B4" s="8" t="s">
        <v>1043</v>
      </c>
      <c r="C4" s="8" t="s">
        <v>1044</v>
      </c>
      <c r="D4" s="8" t="s">
        <v>1045</v>
      </c>
      <c r="E4" s="8"/>
      <c r="F4" s="8"/>
      <c r="G4" s="8"/>
      <c r="H4" s="8" t="s">
        <v>1046</v>
      </c>
      <c r="I4" s="8" t="s">
        <v>1036</v>
      </c>
      <c r="J4" s="8" t="s">
        <v>1047</v>
      </c>
    </row>
    <row r="5" customFormat="false" ht="34.5" hidden="false" customHeight="true" outlineLevel="0" collapsed="false">
      <c r="A5" s="8" t="s">
        <v>664</v>
      </c>
      <c r="B5" s="8" t="s">
        <v>1048</v>
      </c>
      <c r="C5" s="8" t="s">
        <v>293</v>
      </c>
      <c r="D5" s="8" t="s">
        <v>1049</v>
      </c>
      <c r="E5" s="8" t="s">
        <v>1050</v>
      </c>
      <c r="F5" s="8" t="s">
        <v>1051</v>
      </c>
      <c r="G5" s="8" t="s">
        <v>1052</v>
      </c>
      <c r="H5" s="8" t="s">
        <v>1053</v>
      </c>
      <c r="I5" s="8" t="s">
        <v>1054</v>
      </c>
      <c r="J5" s="8" t="s">
        <v>1055</v>
      </c>
    </row>
    <row r="6" customFormat="false" ht="45.75" hidden="false" customHeight="true" outlineLevel="0" collapsed="false">
      <c r="A6" s="8" t="s">
        <v>669</v>
      </c>
      <c r="B6" s="8" t="s">
        <v>1056</v>
      </c>
      <c r="C6" s="8" t="s">
        <v>322</v>
      </c>
      <c r="D6" s="8" t="s">
        <v>1057</v>
      </c>
      <c r="E6" s="8"/>
      <c r="F6" s="8"/>
      <c r="G6" s="8"/>
      <c r="H6" s="8" t="s">
        <v>1058</v>
      </c>
      <c r="I6" s="8" t="s">
        <v>1059</v>
      </c>
      <c r="J6" s="8" t="s">
        <v>1060</v>
      </c>
    </row>
    <row r="7" customFormat="false" ht="23.25" hidden="false" customHeight="true" outlineLevel="0" collapsed="false">
      <c r="A7" s="8" t="s">
        <v>673</v>
      </c>
      <c r="B7" s="8" t="s">
        <v>328</v>
      </c>
      <c r="C7" s="8" t="s">
        <v>327</v>
      </c>
      <c r="D7" s="8" t="s">
        <v>1061</v>
      </c>
      <c r="E7" s="8" t="s">
        <v>1062</v>
      </c>
      <c r="F7" s="8" t="s">
        <v>1063</v>
      </c>
      <c r="G7" s="8" t="s">
        <v>1064</v>
      </c>
      <c r="H7" s="8" t="s">
        <v>1065</v>
      </c>
      <c r="I7" s="8" t="s">
        <v>1036</v>
      </c>
      <c r="J7" s="8" t="s">
        <v>676</v>
      </c>
    </row>
    <row r="8" customFormat="false" ht="15" hidden="false" customHeight="true" outlineLevel="0" collapsed="false">
      <c r="A8" s="8" t="s">
        <v>677</v>
      </c>
      <c r="B8" s="8" t="s">
        <v>1066</v>
      </c>
      <c r="C8" s="8" t="s">
        <v>1067</v>
      </c>
      <c r="D8" s="8" t="s">
        <v>1068</v>
      </c>
      <c r="E8" s="8" t="s">
        <v>1069</v>
      </c>
      <c r="F8" s="8"/>
      <c r="G8" s="8" t="s">
        <v>1070</v>
      </c>
      <c r="H8" s="8" t="s">
        <v>1071</v>
      </c>
      <c r="I8" s="8" t="s">
        <v>1036</v>
      </c>
      <c r="J8" s="8" t="s">
        <v>1072</v>
      </c>
    </row>
    <row r="9" customFormat="false" ht="34.5" hidden="false" customHeight="true" outlineLevel="0" collapsed="false">
      <c r="A9" s="8" t="s">
        <v>680</v>
      </c>
      <c r="B9" s="8" t="s">
        <v>1073</v>
      </c>
      <c r="C9" s="8" t="s">
        <v>1074</v>
      </c>
      <c r="D9" s="8" t="s">
        <v>1075</v>
      </c>
      <c r="E9" s="8" t="s">
        <v>1069</v>
      </c>
      <c r="F9" s="8"/>
      <c r="G9" s="8" t="s">
        <v>1076</v>
      </c>
      <c r="H9" s="8" t="s">
        <v>1077</v>
      </c>
      <c r="I9" s="8" t="s">
        <v>1036</v>
      </c>
      <c r="J9" s="8" t="s">
        <v>1072</v>
      </c>
    </row>
    <row r="10" customFormat="false" ht="23.25" hidden="false" customHeight="true" outlineLevel="0" collapsed="false">
      <c r="A10" s="8" t="s">
        <v>683</v>
      </c>
      <c r="B10" s="8" t="s">
        <v>1078</v>
      </c>
      <c r="C10" s="8" t="s">
        <v>1079</v>
      </c>
      <c r="D10" s="8" t="s">
        <v>1080</v>
      </c>
      <c r="E10" s="8"/>
      <c r="F10" s="8"/>
      <c r="G10" s="8" t="s">
        <v>1081</v>
      </c>
      <c r="H10" s="8"/>
      <c r="I10" s="8" t="s">
        <v>1036</v>
      </c>
      <c r="J10" s="8" t="s">
        <v>1082</v>
      </c>
    </row>
    <row r="11" customFormat="false" ht="82.5" hidden="false" customHeight="true" outlineLevel="0" collapsed="false">
      <c r="A11" s="8" t="s">
        <v>687</v>
      </c>
      <c r="B11" s="8" t="s">
        <v>1083</v>
      </c>
      <c r="C11" s="8" t="s">
        <v>1084</v>
      </c>
      <c r="D11" s="8" t="s">
        <v>1085</v>
      </c>
      <c r="E11" s="8" t="s">
        <v>1062</v>
      </c>
      <c r="F11" s="8"/>
      <c r="G11" s="8" t="s">
        <v>1086</v>
      </c>
      <c r="H11" s="8" t="s">
        <v>1087</v>
      </c>
      <c r="I11" s="8" t="s">
        <v>1088</v>
      </c>
      <c r="J11" s="8" t="s">
        <v>1089</v>
      </c>
    </row>
    <row r="12" customFormat="false" ht="57" hidden="false" customHeight="true" outlineLevel="0" collapsed="false">
      <c r="A12" s="8" t="s">
        <v>691</v>
      </c>
      <c r="B12" s="8" t="s">
        <v>1090</v>
      </c>
      <c r="C12" s="8" t="s">
        <v>1091</v>
      </c>
      <c r="D12" s="8" t="s">
        <v>1092</v>
      </c>
      <c r="E12" s="8" t="s">
        <v>1093</v>
      </c>
      <c r="F12" s="8"/>
      <c r="G12" s="8" t="s">
        <v>1094</v>
      </c>
      <c r="H12" s="8" t="s">
        <v>1095</v>
      </c>
      <c r="I12" s="8" t="s">
        <v>1088</v>
      </c>
      <c r="J12" s="8" t="s">
        <v>1096</v>
      </c>
    </row>
    <row r="13" customFormat="false" ht="15" hidden="false" customHeight="true" outlineLevel="0" collapsed="false">
      <c r="A13" s="8" t="s">
        <v>694</v>
      </c>
      <c r="B13" s="8" t="s">
        <v>1097</v>
      </c>
      <c r="C13" s="8" t="s">
        <v>1098</v>
      </c>
      <c r="D13" s="8" t="s">
        <v>1099</v>
      </c>
      <c r="E13" s="8"/>
      <c r="F13" s="8"/>
      <c r="G13" s="8"/>
      <c r="H13" s="8" t="s">
        <v>1100</v>
      </c>
      <c r="I13" s="8" t="s">
        <v>1101</v>
      </c>
      <c r="J13" s="8" t="s">
        <v>1102</v>
      </c>
    </row>
    <row r="14" customFormat="false" ht="69.75" hidden="false" customHeight="true" outlineLevel="0" collapsed="false">
      <c r="A14" s="8" t="s">
        <v>699</v>
      </c>
      <c r="B14" s="8" t="s">
        <v>1103</v>
      </c>
      <c r="C14" s="8" t="s">
        <v>1104</v>
      </c>
      <c r="D14" s="8" t="s">
        <v>1105</v>
      </c>
      <c r="E14" s="8" t="s">
        <v>1106</v>
      </c>
      <c r="F14" s="8"/>
      <c r="G14" s="8" t="s">
        <v>1107</v>
      </c>
      <c r="H14" s="8" t="s">
        <v>1108</v>
      </c>
      <c r="I14" s="8" t="s">
        <v>1109</v>
      </c>
      <c r="J14" s="8" t="s">
        <v>1110</v>
      </c>
    </row>
    <row r="15" customFormat="false" ht="44.25" hidden="false" customHeight="true" outlineLevel="0" collapsed="false">
      <c r="A15" s="8" t="s">
        <v>702</v>
      </c>
      <c r="B15" s="8" t="s">
        <v>348</v>
      </c>
      <c r="C15" s="8" t="s">
        <v>348</v>
      </c>
      <c r="D15" s="8" t="s">
        <v>1111</v>
      </c>
      <c r="E15" s="8" t="s">
        <v>1112</v>
      </c>
      <c r="F15" s="8"/>
      <c r="G15" s="8" t="s">
        <v>1113</v>
      </c>
      <c r="H15" s="8" t="s">
        <v>1114</v>
      </c>
      <c r="I15" s="8" t="s">
        <v>1036</v>
      </c>
      <c r="J15" s="8" t="s">
        <v>1115</v>
      </c>
    </row>
    <row r="16" customFormat="false" ht="95.25" hidden="false" customHeight="true" outlineLevel="0" collapsed="false">
      <c r="A16" s="8" t="s">
        <v>705</v>
      </c>
      <c r="B16" s="8" t="s">
        <v>706</v>
      </c>
      <c r="C16" s="8" t="s">
        <v>1116</v>
      </c>
      <c r="D16" s="8" t="s">
        <v>1117</v>
      </c>
      <c r="E16" s="8" t="s">
        <v>1112</v>
      </c>
      <c r="F16" s="8"/>
      <c r="G16" s="8" t="s">
        <v>1118</v>
      </c>
      <c r="H16" s="8" t="s">
        <v>1119</v>
      </c>
      <c r="I16" s="8" t="s">
        <v>1120</v>
      </c>
      <c r="J16" s="8" t="s">
        <v>1121</v>
      </c>
    </row>
    <row r="17" customFormat="false" ht="57" hidden="false" customHeight="true" outlineLevel="0" collapsed="false">
      <c r="A17" s="8" t="s">
        <v>709</v>
      </c>
      <c r="B17" s="8" t="s">
        <v>710</v>
      </c>
      <c r="C17" s="8" t="s">
        <v>710</v>
      </c>
      <c r="D17" s="8" t="s">
        <v>1122</v>
      </c>
      <c r="E17" s="8" t="s">
        <v>1069</v>
      </c>
      <c r="F17" s="8"/>
      <c r="G17" s="8" t="s">
        <v>1123</v>
      </c>
      <c r="H17" s="8" t="s">
        <v>1124</v>
      </c>
      <c r="I17" s="8" t="s">
        <v>1125</v>
      </c>
      <c r="J17" s="8" t="s">
        <v>1126</v>
      </c>
    </row>
    <row r="18" customFormat="false" ht="69.75" hidden="false" customHeight="true" outlineLevel="0" collapsed="false">
      <c r="A18" s="8" t="s">
        <v>712</v>
      </c>
      <c r="B18" s="8" t="s">
        <v>1127</v>
      </c>
      <c r="C18" s="8" t="s">
        <v>1128</v>
      </c>
      <c r="D18" s="8" t="s">
        <v>1129</v>
      </c>
      <c r="E18" s="8"/>
      <c r="F18" s="8"/>
      <c r="G18" s="8" t="s">
        <v>1130</v>
      </c>
      <c r="H18" s="8" t="s">
        <v>1131</v>
      </c>
      <c r="I18" s="8" t="s">
        <v>1132</v>
      </c>
      <c r="J18" s="8" t="s">
        <v>1133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26"/>
    <col collapsed="false" customWidth="true" hidden="false" outlineLevel="0" max="4" min="4" style="1" width="44"/>
    <col collapsed="false" customWidth="true" hidden="false" outlineLevel="0" max="6" min="5" style="1" width="54"/>
    <col collapsed="false" customWidth="true" hidden="false" outlineLevel="0" max="7" min="7" style="1" width="26"/>
  </cols>
  <sheetData>
    <row r="1" customFormat="false" ht="15" hidden="false" customHeight="true" outlineLevel="0" collapsed="false">
      <c r="A1" s="7" t="s">
        <v>1134</v>
      </c>
      <c r="B1" s="7" t="s">
        <v>1135</v>
      </c>
      <c r="C1" s="7" t="s">
        <v>1136</v>
      </c>
      <c r="D1" s="7" t="s">
        <v>1137</v>
      </c>
      <c r="E1" s="7" t="s">
        <v>1138</v>
      </c>
      <c r="F1" s="7" t="s">
        <v>1139</v>
      </c>
      <c r="G1" s="7" t="s">
        <v>241</v>
      </c>
    </row>
    <row r="2" customFormat="false" ht="23.25" hidden="false" customHeight="true" outlineLevel="0" collapsed="false">
      <c r="A2" s="8" t="s">
        <v>1140</v>
      </c>
      <c r="B2" s="8" t="s">
        <v>1141</v>
      </c>
      <c r="C2" s="8" t="s">
        <v>1142</v>
      </c>
      <c r="D2" s="8" t="s">
        <v>1143</v>
      </c>
      <c r="E2" s="8" t="s">
        <v>1144</v>
      </c>
      <c r="F2" s="8" t="s">
        <v>1145</v>
      </c>
      <c r="G2" s="8" t="s">
        <v>1146</v>
      </c>
    </row>
    <row r="3" customFormat="false" ht="23.25" hidden="false" customHeight="true" outlineLevel="0" collapsed="false">
      <c r="A3" s="8" t="s">
        <v>1147</v>
      </c>
      <c r="B3" s="8" t="s">
        <v>1148</v>
      </c>
      <c r="C3" s="8" t="s">
        <v>1149</v>
      </c>
      <c r="D3" s="8" t="s">
        <v>1150</v>
      </c>
      <c r="E3" s="8" t="s">
        <v>1151</v>
      </c>
      <c r="F3" s="8" t="s">
        <v>1152</v>
      </c>
      <c r="G3" s="8" t="s">
        <v>1153</v>
      </c>
    </row>
    <row r="4" customFormat="false" ht="15" hidden="false" customHeight="true" outlineLevel="0" collapsed="false">
      <c r="A4" s="8" t="s">
        <v>1154</v>
      </c>
      <c r="B4" s="8" t="s">
        <v>1155</v>
      </c>
      <c r="C4" s="8" t="s">
        <v>1156</v>
      </c>
      <c r="D4" s="8" t="s">
        <v>1157</v>
      </c>
      <c r="E4" s="8" t="s">
        <v>1158</v>
      </c>
      <c r="F4" s="8" t="s">
        <v>1159</v>
      </c>
      <c r="G4" s="8" t="s">
        <v>308</v>
      </c>
    </row>
    <row r="5" customFormat="false" ht="34.5" hidden="false" customHeight="true" outlineLevel="0" collapsed="false">
      <c r="A5" s="8" t="s">
        <v>1160</v>
      </c>
      <c r="B5" s="8" t="s">
        <v>1161</v>
      </c>
      <c r="C5" s="8" t="s">
        <v>1162</v>
      </c>
      <c r="D5" s="8" t="s">
        <v>1163</v>
      </c>
      <c r="E5" s="8" t="s">
        <v>1164</v>
      </c>
      <c r="F5" s="8" t="s">
        <v>1165</v>
      </c>
      <c r="G5" s="8" t="s">
        <v>316</v>
      </c>
    </row>
    <row r="6" customFormat="false" ht="23.25" hidden="false" customHeight="true" outlineLevel="0" collapsed="false">
      <c r="A6" s="8" t="s">
        <v>1166</v>
      </c>
      <c r="B6" s="8" t="s">
        <v>1141</v>
      </c>
      <c r="C6" s="8" t="s">
        <v>1142</v>
      </c>
      <c r="D6" s="8" t="s">
        <v>1167</v>
      </c>
      <c r="E6" s="8" t="s">
        <v>1168</v>
      </c>
      <c r="F6" s="8" t="s">
        <v>1169</v>
      </c>
      <c r="G6" s="8" t="s">
        <v>339</v>
      </c>
    </row>
    <row r="7" customFormat="false" ht="23.25" hidden="false" customHeight="true" outlineLevel="0" collapsed="false">
      <c r="A7" s="8" t="s">
        <v>1170</v>
      </c>
      <c r="B7" s="8" t="s">
        <v>1171</v>
      </c>
      <c r="C7" s="8" t="s">
        <v>1172</v>
      </c>
      <c r="D7" s="8" t="s">
        <v>1173</v>
      </c>
      <c r="E7" s="8" t="s">
        <v>1174</v>
      </c>
      <c r="F7" s="8" t="s">
        <v>1175</v>
      </c>
      <c r="G7" s="8" t="s">
        <v>304</v>
      </c>
    </row>
    <row r="8" customFormat="false" ht="23.25" hidden="false" customHeight="true" outlineLevel="0" collapsed="false">
      <c r="A8" s="8" t="s">
        <v>1176</v>
      </c>
      <c r="B8" s="8" t="s">
        <v>1171</v>
      </c>
      <c r="C8" s="8" t="s">
        <v>1172</v>
      </c>
      <c r="D8" s="8" t="s">
        <v>1173</v>
      </c>
      <c r="E8" s="8" t="s">
        <v>1177</v>
      </c>
      <c r="F8" s="8" t="s">
        <v>1178</v>
      </c>
      <c r="G8" s="8" t="s">
        <v>1179</v>
      </c>
    </row>
    <row r="9" customFormat="false" ht="23.25" hidden="false" customHeight="true" outlineLevel="0" collapsed="false">
      <c r="A9" s="8" t="s">
        <v>1180</v>
      </c>
      <c r="B9" s="8" t="s">
        <v>1171</v>
      </c>
      <c r="C9" s="8" t="s">
        <v>1172</v>
      </c>
      <c r="D9" s="8" t="s">
        <v>1173</v>
      </c>
      <c r="E9" s="8" t="s">
        <v>1181</v>
      </c>
      <c r="F9" s="8" t="s">
        <v>1182</v>
      </c>
      <c r="G9" s="8" t="s">
        <v>1183</v>
      </c>
    </row>
    <row r="10" customFormat="false" ht="15" hidden="false" customHeight="true" outlineLevel="0" collapsed="false">
      <c r="A10" s="8" t="s">
        <v>1184</v>
      </c>
      <c r="B10" s="8" t="s">
        <v>1171</v>
      </c>
      <c r="C10" s="8" t="s">
        <v>1185</v>
      </c>
      <c r="D10" s="8" t="s">
        <v>1186</v>
      </c>
      <c r="E10" s="8" t="s">
        <v>1187</v>
      </c>
      <c r="F10" s="8" t="s">
        <v>1188</v>
      </c>
      <c r="G10" s="8" t="s">
        <v>1183</v>
      </c>
    </row>
    <row r="11" customFormat="false" ht="23.25" hidden="false" customHeight="true" outlineLevel="0" collapsed="false">
      <c r="A11" s="8" t="s">
        <v>1189</v>
      </c>
      <c r="B11" s="8" t="s">
        <v>1141</v>
      </c>
      <c r="C11" s="8" t="s">
        <v>1190</v>
      </c>
      <c r="D11" s="8" t="s">
        <v>1191</v>
      </c>
      <c r="E11" s="8" t="s">
        <v>1192</v>
      </c>
      <c r="F11" s="8" t="s">
        <v>1193</v>
      </c>
      <c r="G11" s="8" t="s">
        <v>1194</v>
      </c>
    </row>
    <row r="12" customFormat="false" ht="23.25" hidden="false" customHeight="true" outlineLevel="0" collapsed="false">
      <c r="A12" s="8" t="s">
        <v>1195</v>
      </c>
      <c r="B12" s="8" t="s">
        <v>1196</v>
      </c>
      <c r="C12" s="8" t="s">
        <v>1197</v>
      </c>
      <c r="D12" s="8" t="s">
        <v>1198</v>
      </c>
      <c r="E12" s="8" t="s">
        <v>1199</v>
      </c>
      <c r="F12" s="8" t="s">
        <v>1200</v>
      </c>
      <c r="G12" s="8" t="s">
        <v>1201</v>
      </c>
    </row>
    <row r="13" customFormat="false" ht="15" hidden="false" customHeight="true" outlineLevel="0" collapsed="false">
      <c r="A13" s="8" t="s">
        <v>1202</v>
      </c>
      <c r="B13" s="8" t="s">
        <v>1141</v>
      </c>
      <c r="C13" s="8" t="s">
        <v>1172</v>
      </c>
      <c r="D13" s="8" t="s">
        <v>1173</v>
      </c>
      <c r="E13" s="8" t="s">
        <v>1203</v>
      </c>
      <c r="F13" s="8" t="s">
        <v>1204</v>
      </c>
      <c r="G13" s="8" t="s">
        <v>316</v>
      </c>
    </row>
    <row r="14" customFormat="false" ht="15" hidden="false" customHeight="true" outlineLevel="0" collapsed="false">
      <c r="A14" s="8" t="s">
        <v>642</v>
      </c>
      <c r="B14" s="8" t="s">
        <v>1141</v>
      </c>
      <c r="C14" s="8" t="s">
        <v>1142</v>
      </c>
      <c r="D14" s="8" t="s">
        <v>1205</v>
      </c>
      <c r="E14" s="8" t="s">
        <v>1206</v>
      </c>
      <c r="F14" s="8" t="s">
        <v>1207</v>
      </c>
      <c r="G14" s="8" t="s">
        <v>1208</v>
      </c>
    </row>
    <row r="15" customFormat="false" ht="15" hidden="false" customHeight="true" outlineLevel="0" collapsed="false">
      <c r="A15" s="8" t="s">
        <v>1209</v>
      </c>
      <c r="B15" s="8" t="s">
        <v>1141</v>
      </c>
      <c r="C15" s="8" t="s">
        <v>1142</v>
      </c>
      <c r="D15" s="8" t="s">
        <v>1210</v>
      </c>
      <c r="E15" s="8" t="s">
        <v>1211</v>
      </c>
      <c r="F15" s="8" t="s">
        <v>1212</v>
      </c>
      <c r="G15" s="8" t="s">
        <v>1213</v>
      </c>
    </row>
    <row r="16" customFormat="false" ht="23.25" hidden="false" customHeight="true" outlineLevel="0" collapsed="false">
      <c r="A16" s="8" t="s">
        <v>1214</v>
      </c>
      <c r="B16" s="8" t="s">
        <v>1141</v>
      </c>
      <c r="C16" s="8" t="s">
        <v>1172</v>
      </c>
      <c r="D16" s="8" t="s">
        <v>1173</v>
      </c>
      <c r="E16" s="8" t="s">
        <v>1215</v>
      </c>
      <c r="F16" s="8" t="s">
        <v>1216</v>
      </c>
      <c r="G16" s="8" t="s">
        <v>1217</v>
      </c>
    </row>
    <row r="17" customFormat="false" ht="15" hidden="false" customHeight="true" outlineLevel="0" collapsed="false">
      <c r="A17" s="8" t="s">
        <v>1218</v>
      </c>
      <c r="B17" s="8" t="s">
        <v>1141</v>
      </c>
      <c r="C17" s="8" t="s">
        <v>1219</v>
      </c>
      <c r="D17" s="8" t="s">
        <v>1220</v>
      </c>
      <c r="E17" s="8" t="s">
        <v>1221</v>
      </c>
      <c r="F17" s="8" t="s">
        <v>1222</v>
      </c>
      <c r="G17" s="8" t="s">
        <v>1223</v>
      </c>
    </row>
    <row r="18" customFormat="false" ht="15" hidden="false" customHeight="true" outlineLevel="0" collapsed="false">
      <c r="A18" s="8" t="s">
        <v>1224</v>
      </c>
      <c r="B18" s="8" t="s">
        <v>1141</v>
      </c>
      <c r="C18" s="8" t="s">
        <v>1142</v>
      </c>
      <c r="D18" s="8" t="s">
        <v>1225</v>
      </c>
      <c r="E18" s="8" t="s">
        <v>1226</v>
      </c>
      <c r="F18" s="8" t="s">
        <v>1227</v>
      </c>
      <c r="G18" s="8" t="s">
        <v>1228</v>
      </c>
    </row>
    <row r="19" customFormat="false" ht="15" hidden="false" customHeight="true" outlineLevel="0" collapsed="false">
      <c r="A19" s="8" t="s">
        <v>1229</v>
      </c>
      <c r="B19" s="8" t="s">
        <v>1141</v>
      </c>
      <c r="C19" s="8" t="s">
        <v>1142</v>
      </c>
      <c r="D19" s="8" t="s">
        <v>1230</v>
      </c>
      <c r="E19" s="8" t="s">
        <v>1231</v>
      </c>
      <c r="F19" s="8" t="s">
        <v>768</v>
      </c>
      <c r="G19" s="8" t="s">
        <v>1228</v>
      </c>
    </row>
    <row r="20" customFormat="false" ht="15" hidden="false" customHeight="true" outlineLevel="0" collapsed="false">
      <c r="A20" s="8" t="s">
        <v>1232</v>
      </c>
      <c r="B20" s="8" t="s">
        <v>1141</v>
      </c>
      <c r="C20" s="8" t="s">
        <v>1142</v>
      </c>
      <c r="D20" s="8" t="s">
        <v>1233</v>
      </c>
      <c r="E20" s="8" t="s">
        <v>1234</v>
      </c>
      <c r="F20" s="8" t="s">
        <v>1235</v>
      </c>
      <c r="G20" s="8" t="s">
        <v>1236</v>
      </c>
    </row>
    <row r="21" customFormat="false" ht="15" hidden="false" customHeight="true" outlineLevel="0" collapsed="false">
      <c r="A21" s="8" t="s">
        <v>1237</v>
      </c>
      <c r="B21" s="8" t="s">
        <v>1141</v>
      </c>
      <c r="C21" s="8" t="s">
        <v>1142</v>
      </c>
      <c r="D21" s="8" t="s">
        <v>1238</v>
      </c>
      <c r="E21" s="8" t="s">
        <v>1239</v>
      </c>
      <c r="F21" s="8" t="s">
        <v>1240</v>
      </c>
      <c r="G21" s="8" t="s">
        <v>1241</v>
      </c>
    </row>
    <row r="22" customFormat="false" ht="15" hidden="false" customHeight="true" outlineLevel="0" collapsed="false">
      <c r="A22" s="8" t="s">
        <v>1242</v>
      </c>
      <c r="B22" s="8" t="s">
        <v>1141</v>
      </c>
      <c r="C22" s="8" t="s">
        <v>1142</v>
      </c>
      <c r="D22" s="8" t="s">
        <v>1243</v>
      </c>
      <c r="E22" s="8" t="s">
        <v>1244</v>
      </c>
      <c r="F22" s="8" t="s">
        <v>1245</v>
      </c>
      <c r="G22" s="8" t="s">
        <v>1228</v>
      </c>
    </row>
    <row r="23" customFormat="false" ht="15" hidden="false" customHeight="true" outlineLevel="0" collapsed="false">
      <c r="A23" s="8" t="s">
        <v>1246</v>
      </c>
      <c r="B23" s="8" t="s">
        <v>1141</v>
      </c>
      <c r="C23" s="8" t="s">
        <v>1142</v>
      </c>
      <c r="D23" s="8" t="s">
        <v>1247</v>
      </c>
      <c r="E23" s="8" t="s">
        <v>1248</v>
      </c>
      <c r="F23" s="8" t="s">
        <v>1249</v>
      </c>
      <c r="G23" s="8" t="s">
        <v>1250</v>
      </c>
    </row>
    <row r="24" customFormat="false" ht="23.25" hidden="false" customHeight="true" outlineLevel="0" collapsed="false">
      <c r="A24" s="8" t="s">
        <v>1251</v>
      </c>
      <c r="B24" s="8" t="s">
        <v>1155</v>
      </c>
      <c r="C24" s="8" t="s">
        <v>1149</v>
      </c>
      <c r="D24" s="8" t="s">
        <v>1252</v>
      </c>
      <c r="E24" s="8" t="s">
        <v>1253</v>
      </c>
      <c r="F24" s="8" t="s">
        <v>1254</v>
      </c>
      <c r="G24" s="8" t="s">
        <v>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50"/>
    <col collapsed="false" customWidth="true" hidden="false" outlineLevel="0" max="4" min="4" style="1" width="8"/>
    <col collapsed="false" customWidth="true" hidden="false" outlineLevel="0" max="5" min="5" style="1" width="74"/>
    <col collapsed="false" customWidth="true" hidden="false" outlineLevel="0" max="6" min="6" style="1" width="20"/>
    <col collapsed="false" customWidth="true" hidden="false" outlineLevel="0" max="7" min="7" style="1" width="34"/>
  </cols>
  <sheetData>
    <row r="1" customFormat="false" ht="15" hidden="false" customHeight="true" outlineLevel="0" collapsed="false">
      <c r="A1" s="7" t="s">
        <v>1255</v>
      </c>
      <c r="B1" s="7" t="s">
        <v>427</v>
      </c>
      <c r="C1" s="7" t="s">
        <v>1256</v>
      </c>
      <c r="D1" s="7" t="s">
        <v>1257</v>
      </c>
      <c r="E1" s="7" t="s">
        <v>1258</v>
      </c>
      <c r="F1" s="7" t="s">
        <v>1259</v>
      </c>
      <c r="G1" s="7" t="s">
        <v>1260</v>
      </c>
    </row>
    <row r="2" customFormat="false" ht="15" hidden="false" customHeight="true" outlineLevel="0" collapsed="false">
      <c r="A2" s="8" t="s">
        <v>1261</v>
      </c>
      <c r="B2" s="8" t="s">
        <v>255</v>
      </c>
      <c r="C2" s="8" t="s">
        <v>1262</v>
      </c>
      <c r="D2" s="8" t="n">
        <v>1</v>
      </c>
      <c r="E2" s="8" t="s">
        <v>1263</v>
      </c>
      <c r="F2" s="8" t="s">
        <v>664</v>
      </c>
      <c r="G2" s="8" t="s">
        <v>1264</v>
      </c>
    </row>
    <row r="3" customFormat="false" ht="23.25" hidden="false" customHeight="true" outlineLevel="0" collapsed="false">
      <c r="A3" s="8" t="s">
        <v>1265</v>
      </c>
      <c r="B3" s="8" t="s">
        <v>255</v>
      </c>
      <c r="C3" s="8" t="s">
        <v>1262</v>
      </c>
      <c r="D3" s="8" t="n">
        <v>2</v>
      </c>
      <c r="E3" s="8" t="s">
        <v>1266</v>
      </c>
      <c r="F3" s="8" t="s">
        <v>664</v>
      </c>
      <c r="G3" s="8" t="s">
        <v>1153</v>
      </c>
    </row>
    <row r="4" customFormat="false" ht="23.25" hidden="false" customHeight="true" outlineLevel="0" collapsed="false">
      <c r="A4" s="8" t="s">
        <v>1267</v>
      </c>
      <c r="B4" s="8" t="s">
        <v>255</v>
      </c>
      <c r="C4" s="8" t="s">
        <v>1262</v>
      </c>
      <c r="D4" s="8" t="n">
        <v>3</v>
      </c>
      <c r="E4" s="8" t="s">
        <v>1268</v>
      </c>
      <c r="F4" s="8" t="s">
        <v>664</v>
      </c>
      <c r="G4" s="8" t="s">
        <v>1269</v>
      </c>
    </row>
    <row r="5" customFormat="false" ht="15" hidden="false" customHeight="true" outlineLevel="0" collapsed="false">
      <c r="A5" s="8" t="s">
        <v>1270</v>
      </c>
      <c r="B5" s="8" t="s">
        <v>255</v>
      </c>
      <c r="C5" s="8" t="s">
        <v>1271</v>
      </c>
      <c r="D5" s="8" t="n">
        <v>1</v>
      </c>
      <c r="E5" s="8" t="s">
        <v>1272</v>
      </c>
      <c r="F5" s="8" t="s">
        <v>654</v>
      </c>
      <c r="G5" s="8" t="s">
        <v>1273</v>
      </c>
    </row>
    <row r="6" customFormat="false" ht="15" hidden="false" customHeight="true" outlineLevel="0" collapsed="false">
      <c r="A6" s="8" t="s">
        <v>1274</v>
      </c>
      <c r="B6" s="8" t="s">
        <v>255</v>
      </c>
      <c r="C6" s="8" t="s">
        <v>1275</v>
      </c>
      <c r="D6" s="8" t="n">
        <v>1</v>
      </c>
      <c r="E6" s="8" t="s">
        <v>1276</v>
      </c>
      <c r="F6" s="8" t="s">
        <v>658</v>
      </c>
      <c r="G6" s="8" t="s">
        <v>1042</v>
      </c>
    </row>
    <row r="7" customFormat="false" ht="15" hidden="false" customHeight="true" outlineLevel="0" collapsed="false">
      <c r="A7" s="8" t="s">
        <v>1277</v>
      </c>
      <c r="B7" s="8" t="s">
        <v>255</v>
      </c>
      <c r="C7" s="8" t="s">
        <v>1278</v>
      </c>
      <c r="D7" s="8" t="n">
        <v>1</v>
      </c>
      <c r="E7" s="8" t="s">
        <v>1279</v>
      </c>
      <c r="F7" s="8" t="s">
        <v>661</v>
      </c>
      <c r="G7" s="8" t="s">
        <v>1280</v>
      </c>
    </row>
    <row r="8" customFormat="false" ht="15" hidden="false" customHeight="true" outlineLevel="0" collapsed="false">
      <c r="A8" s="8" t="s">
        <v>1281</v>
      </c>
      <c r="B8" s="8" t="s">
        <v>255</v>
      </c>
      <c r="C8" s="8" t="s">
        <v>1282</v>
      </c>
      <c r="D8" s="8" t="n">
        <v>1</v>
      </c>
      <c r="E8" s="8" t="s">
        <v>1283</v>
      </c>
      <c r="F8" s="8" t="s">
        <v>683</v>
      </c>
      <c r="G8" s="8" t="s">
        <v>1284</v>
      </c>
    </row>
    <row r="9" customFormat="false" ht="23.25" hidden="false" customHeight="true" outlineLevel="0" collapsed="false">
      <c r="A9" s="8" t="s">
        <v>1285</v>
      </c>
      <c r="B9" s="8" t="s">
        <v>255</v>
      </c>
      <c r="C9" s="8" t="s">
        <v>1286</v>
      </c>
      <c r="D9" s="8" t="n">
        <v>1</v>
      </c>
      <c r="E9" s="8" t="s">
        <v>1287</v>
      </c>
      <c r="F9" s="8" t="s">
        <v>664</v>
      </c>
      <c r="G9" s="8" t="s">
        <v>1288</v>
      </c>
    </row>
    <row r="10" customFormat="false" ht="15" hidden="false" customHeight="true" outlineLevel="0" collapsed="false">
      <c r="A10" s="8" t="s">
        <v>1289</v>
      </c>
      <c r="B10" s="8" t="s">
        <v>260</v>
      </c>
      <c r="C10" s="8" t="s">
        <v>1290</v>
      </c>
      <c r="D10" s="8" t="n">
        <v>1</v>
      </c>
      <c r="E10" s="8" t="s">
        <v>1291</v>
      </c>
      <c r="F10" s="8" t="s">
        <v>673</v>
      </c>
      <c r="G10" s="8" t="s">
        <v>1292</v>
      </c>
    </row>
    <row r="11" customFormat="false" ht="15" hidden="false" customHeight="true" outlineLevel="0" collapsed="false">
      <c r="A11" s="8" t="s">
        <v>1293</v>
      </c>
      <c r="B11" s="8" t="s">
        <v>260</v>
      </c>
      <c r="C11" s="8" t="s">
        <v>1290</v>
      </c>
      <c r="D11" s="8" t="n">
        <v>2</v>
      </c>
      <c r="E11" s="8" t="s">
        <v>1294</v>
      </c>
      <c r="F11" s="8" t="s">
        <v>673</v>
      </c>
      <c r="G11" s="8" t="s">
        <v>1295</v>
      </c>
    </row>
    <row r="12" customFormat="false" ht="23.25" hidden="false" customHeight="true" outlineLevel="0" collapsed="false">
      <c r="A12" s="8" t="s">
        <v>1296</v>
      </c>
      <c r="B12" s="8" t="s">
        <v>260</v>
      </c>
      <c r="C12" s="8" t="s">
        <v>1297</v>
      </c>
      <c r="D12" s="8" t="n">
        <v>1</v>
      </c>
      <c r="E12" s="8" t="s">
        <v>1298</v>
      </c>
      <c r="F12" s="8" t="s">
        <v>664</v>
      </c>
      <c r="G12" s="8" t="s">
        <v>1299</v>
      </c>
    </row>
    <row r="13" customFormat="false" ht="15" hidden="false" customHeight="true" outlineLevel="0" collapsed="false">
      <c r="A13" s="8" t="s">
        <v>1300</v>
      </c>
      <c r="B13" s="8" t="s">
        <v>260</v>
      </c>
      <c r="C13" s="8" t="s">
        <v>1301</v>
      </c>
      <c r="D13" s="8" t="n">
        <v>1</v>
      </c>
      <c r="E13" s="8" t="s">
        <v>1302</v>
      </c>
      <c r="F13" s="8" t="s">
        <v>669</v>
      </c>
      <c r="G13" s="8" t="s">
        <v>316</v>
      </c>
    </row>
    <row r="14" customFormat="false" ht="23.25" hidden="false" customHeight="true" outlineLevel="0" collapsed="false">
      <c r="A14" s="8" t="s">
        <v>1303</v>
      </c>
      <c r="B14" s="8" t="s">
        <v>260</v>
      </c>
      <c r="C14" s="8" t="s">
        <v>1304</v>
      </c>
      <c r="D14" s="8" t="n">
        <v>2</v>
      </c>
      <c r="E14" s="8" t="s">
        <v>1305</v>
      </c>
      <c r="F14" s="8" t="s">
        <v>691</v>
      </c>
      <c r="G14" s="8" t="s">
        <v>339</v>
      </c>
    </row>
    <row r="15" customFormat="false" ht="15" hidden="false" customHeight="true" outlineLevel="0" collapsed="false">
      <c r="A15" s="8" t="s">
        <v>1306</v>
      </c>
      <c r="B15" s="8" t="s">
        <v>260</v>
      </c>
      <c r="C15" s="8" t="s">
        <v>1307</v>
      </c>
      <c r="D15" s="8" t="n">
        <v>2</v>
      </c>
      <c r="E15" s="8" t="s">
        <v>1308</v>
      </c>
      <c r="F15" s="8" t="s">
        <v>687</v>
      </c>
      <c r="G15" s="8" t="s">
        <v>312</v>
      </c>
    </row>
    <row r="16" customFormat="false" ht="15" hidden="false" customHeight="true" outlineLevel="0" collapsed="false">
      <c r="A16" s="8" t="s">
        <v>1309</v>
      </c>
      <c r="B16" s="8" t="s">
        <v>260</v>
      </c>
      <c r="C16" s="8" t="s">
        <v>1310</v>
      </c>
      <c r="D16" s="8" t="n">
        <v>2</v>
      </c>
      <c r="E16" s="8" t="s">
        <v>1311</v>
      </c>
      <c r="F16" s="8" t="s">
        <v>677</v>
      </c>
      <c r="G16" s="8" t="s">
        <v>1312</v>
      </c>
    </row>
    <row r="17" customFormat="false" ht="23.25" hidden="false" customHeight="true" outlineLevel="0" collapsed="false">
      <c r="A17" s="8" t="s">
        <v>1313</v>
      </c>
      <c r="B17" s="8" t="s">
        <v>260</v>
      </c>
      <c r="C17" s="8" t="s">
        <v>1314</v>
      </c>
      <c r="D17" s="8" t="n">
        <v>1</v>
      </c>
      <c r="E17" s="8" t="s">
        <v>1315</v>
      </c>
      <c r="F17" s="8" t="s">
        <v>669</v>
      </c>
      <c r="G17" s="8" t="s">
        <v>1316</v>
      </c>
    </row>
    <row r="18" customFormat="false" ht="15" hidden="false" customHeight="true" outlineLevel="0" collapsed="false">
      <c r="A18" s="8" t="s">
        <v>1317</v>
      </c>
      <c r="B18" s="8" t="s">
        <v>263</v>
      </c>
      <c r="C18" s="8" t="s">
        <v>1318</v>
      </c>
      <c r="D18" s="8" t="n">
        <v>1</v>
      </c>
      <c r="E18" s="8" t="s">
        <v>1319</v>
      </c>
      <c r="F18" s="8" t="s">
        <v>680</v>
      </c>
      <c r="G18" s="8" t="s">
        <v>1320</v>
      </c>
    </row>
    <row r="19" customFormat="false" ht="15" hidden="false" customHeight="true" outlineLevel="0" collapsed="false">
      <c r="A19" s="8" t="s">
        <v>1321</v>
      </c>
      <c r="B19" s="8" t="s">
        <v>263</v>
      </c>
      <c r="C19" s="8" t="s">
        <v>1318</v>
      </c>
      <c r="D19" s="8" t="n">
        <v>2</v>
      </c>
      <c r="E19" s="8" t="s">
        <v>1322</v>
      </c>
      <c r="F19" s="8" t="s">
        <v>677</v>
      </c>
      <c r="G19" s="8" t="s">
        <v>1323</v>
      </c>
    </row>
    <row r="20" customFormat="false" ht="15" hidden="false" customHeight="true" outlineLevel="0" collapsed="false">
      <c r="A20" s="8" t="s">
        <v>1324</v>
      </c>
      <c r="B20" s="8" t="s">
        <v>263</v>
      </c>
      <c r="C20" s="8" t="s">
        <v>1325</v>
      </c>
      <c r="D20" s="8" t="n">
        <v>1</v>
      </c>
      <c r="E20" s="8" t="s">
        <v>1326</v>
      </c>
      <c r="F20" s="8" t="s">
        <v>694</v>
      </c>
      <c r="G20" s="8" t="s">
        <v>1213</v>
      </c>
    </row>
    <row r="21" customFormat="false" ht="15" hidden="false" customHeight="true" outlineLevel="0" collapsed="false">
      <c r="A21" s="8" t="s">
        <v>1327</v>
      </c>
      <c r="B21" s="8" t="s">
        <v>263</v>
      </c>
      <c r="C21" s="8" t="s">
        <v>1328</v>
      </c>
      <c r="D21" s="8" t="n">
        <v>1</v>
      </c>
      <c r="E21" s="8" t="s">
        <v>1329</v>
      </c>
      <c r="F21" s="8" t="s">
        <v>664</v>
      </c>
      <c r="G21" s="8" t="s">
        <v>316</v>
      </c>
    </row>
    <row r="22" customFormat="false" ht="23.25" hidden="false" customHeight="true" outlineLevel="0" collapsed="false">
      <c r="A22" s="8" t="s">
        <v>1330</v>
      </c>
      <c r="B22" s="8" t="s">
        <v>263</v>
      </c>
      <c r="C22" s="8" t="s">
        <v>1331</v>
      </c>
      <c r="D22" s="8" t="n">
        <v>2</v>
      </c>
      <c r="E22" s="8" t="s">
        <v>1332</v>
      </c>
      <c r="F22" s="8" t="s">
        <v>702</v>
      </c>
      <c r="G22" s="8" t="s">
        <v>312</v>
      </c>
    </row>
    <row r="23" customFormat="false" ht="23.25" hidden="false" customHeight="true" outlineLevel="0" collapsed="false">
      <c r="A23" s="8" t="s">
        <v>1333</v>
      </c>
      <c r="B23" s="8" t="s">
        <v>263</v>
      </c>
      <c r="C23" s="8" t="s">
        <v>1334</v>
      </c>
      <c r="D23" s="8" t="n">
        <v>2</v>
      </c>
      <c r="E23" s="8" t="s">
        <v>1335</v>
      </c>
      <c r="F23" s="8" t="s">
        <v>669</v>
      </c>
      <c r="G23" s="8" t="s">
        <v>1336</v>
      </c>
    </row>
    <row r="24" customFormat="false" ht="23.25" hidden="false" customHeight="true" outlineLevel="0" collapsed="false">
      <c r="A24" s="8" t="s">
        <v>1337</v>
      </c>
      <c r="B24" s="8" t="s">
        <v>442</v>
      </c>
      <c r="C24" s="8" t="s">
        <v>1338</v>
      </c>
      <c r="D24" s="8" t="n">
        <v>1</v>
      </c>
      <c r="E24" s="8" t="s">
        <v>1339</v>
      </c>
      <c r="F24" s="8" t="s">
        <v>938</v>
      </c>
      <c r="G24" s="8" t="s">
        <v>354</v>
      </c>
    </row>
    <row r="25" customFormat="false" ht="23.25" hidden="false" customHeight="true" outlineLevel="0" collapsed="false">
      <c r="A25" s="8" t="s">
        <v>1340</v>
      </c>
      <c r="B25" s="8" t="s">
        <v>442</v>
      </c>
      <c r="C25" s="8" t="s">
        <v>1341</v>
      </c>
      <c r="D25" s="8" t="n">
        <v>2</v>
      </c>
      <c r="E25" s="8" t="s">
        <v>1342</v>
      </c>
      <c r="F25" s="8" t="s">
        <v>1343</v>
      </c>
      <c r="G25" s="8" t="s">
        <v>1344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8"/>
    <col collapsed="false" customWidth="true" hidden="false" outlineLevel="0" max="5" min="3" style="1" width="12"/>
    <col collapsed="false" customWidth="true" hidden="false" outlineLevel="0" max="6" min="6" style="1" width="54"/>
    <col collapsed="false" customWidth="true" hidden="false" outlineLevel="0" max="7" min="7" style="1" width="12"/>
    <col collapsed="false" customWidth="true" hidden="false" outlineLevel="0" max="8" min="8" style="1" width="24"/>
    <col collapsed="false" customWidth="true" hidden="false" outlineLevel="0" max="9" min="9" style="1" width="40"/>
    <col collapsed="false" customWidth="true" hidden="false" outlineLevel="0" max="10" min="10" style="1" width="12"/>
    <col collapsed="false" customWidth="true" hidden="false" outlineLevel="0" max="11" min="11" style="1" width="34"/>
  </cols>
  <sheetData>
    <row r="1" customFormat="false" ht="23.25" hidden="false" customHeight="true" outlineLevel="0" collapsed="false">
      <c r="A1" s="7" t="s">
        <v>1345</v>
      </c>
      <c r="B1" s="7" t="s">
        <v>1346</v>
      </c>
      <c r="C1" s="7" t="s">
        <v>464</v>
      </c>
      <c r="D1" s="7" t="s">
        <v>467</v>
      </c>
      <c r="E1" s="7" t="s">
        <v>1347</v>
      </c>
      <c r="F1" s="7" t="s">
        <v>1348</v>
      </c>
      <c r="G1" s="7" t="s">
        <v>1349</v>
      </c>
      <c r="H1" s="7" t="s">
        <v>602</v>
      </c>
      <c r="I1" s="7" t="s">
        <v>1350</v>
      </c>
      <c r="J1" s="7" t="s">
        <v>474</v>
      </c>
      <c r="K1" s="7" t="s">
        <v>241</v>
      </c>
    </row>
    <row r="2" customFormat="false" ht="23.25" hidden="false" customHeight="true" outlineLevel="0" collapsed="false">
      <c r="A2" s="8" t="s">
        <v>1351</v>
      </c>
      <c r="B2" s="8" t="s">
        <v>487</v>
      </c>
      <c r="C2" s="8" t="s">
        <v>486</v>
      </c>
      <c r="D2" s="8" t="s">
        <v>488</v>
      </c>
      <c r="E2" s="8" t="s">
        <v>1352</v>
      </c>
      <c r="F2" s="8" t="s">
        <v>1353</v>
      </c>
      <c r="G2" s="8"/>
      <c r="H2" s="8" t="s">
        <v>255</v>
      </c>
      <c r="I2" s="8" t="s">
        <v>725</v>
      </c>
      <c r="J2" s="8" t="s">
        <v>484</v>
      </c>
      <c r="K2" s="8" t="s">
        <v>490</v>
      </c>
    </row>
    <row r="3" customFormat="false" ht="23.25" hidden="false" customHeight="true" outlineLevel="0" collapsed="false">
      <c r="A3" s="8" t="s">
        <v>1354</v>
      </c>
      <c r="B3" s="8" t="s">
        <v>492</v>
      </c>
      <c r="C3" s="8" t="s">
        <v>491</v>
      </c>
      <c r="D3" s="8" t="s">
        <v>488</v>
      </c>
      <c r="E3" s="8" t="s">
        <v>1352</v>
      </c>
      <c r="F3" s="8" t="s">
        <v>1355</v>
      </c>
      <c r="G3" s="8"/>
      <c r="H3" s="8" t="s">
        <v>255</v>
      </c>
      <c r="I3" s="8" t="s">
        <v>725</v>
      </c>
      <c r="J3" s="8" t="s">
        <v>484</v>
      </c>
      <c r="K3" s="8" t="s">
        <v>493</v>
      </c>
    </row>
    <row r="4" customFormat="false" ht="23.25" hidden="false" customHeight="true" outlineLevel="0" collapsed="false">
      <c r="A4" s="8" t="s">
        <v>1356</v>
      </c>
      <c r="B4" s="8" t="s">
        <v>503</v>
      </c>
      <c r="C4" s="8" t="s">
        <v>502</v>
      </c>
      <c r="D4" s="8" t="s">
        <v>488</v>
      </c>
      <c r="E4" s="8" t="s">
        <v>1352</v>
      </c>
      <c r="F4" s="8" t="s">
        <v>1357</v>
      </c>
      <c r="G4" s="8"/>
      <c r="H4" s="8" t="s">
        <v>255</v>
      </c>
      <c r="I4" s="8" t="s">
        <v>725</v>
      </c>
      <c r="J4" s="8" t="s">
        <v>484</v>
      </c>
      <c r="K4" s="8" t="s">
        <v>504</v>
      </c>
    </row>
    <row r="5" customFormat="false" ht="23.25" hidden="false" customHeight="true" outlineLevel="0" collapsed="false">
      <c r="A5" s="8" t="s">
        <v>1358</v>
      </c>
      <c r="B5" s="8" t="s">
        <v>506</v>
      </c>
      <c r="C5" s="8" t="s">
        <v>505</v>
      </c>
      <c r="D5" s="8" t="s">
        <v>507</v>
      </c>
      <c r="E5" s="8" t="s">
        <v>1359</v>
      </c>
      <c r="F5" s="8" t="s">
        <v>1360</v>
      </c>
      <c r="G5" s="8"/>
      <c r="H5" s="8" t="s">
        <v>255</v>
      </c>
      <c r="I5" s="8" t="s">
        <v>725</v>
      </c>
      <c r="J5" s="8" t="s">
        <v>484</v>
      </c>
      <c r="K5" s="8" t="s">
        <v>509</v>
      </c>
    </row>
    <row r="6" customFormat="false" ht="23.25" hidden="false" customHeight="true" outlineLevel="0" collapsed="false">
      <c r="A6" s="8" t="s">
        <v>1361</v>
      </c>
      <c r="B6" s="8" t="s">
        <v>511</v>
      </c>
      <c r="C6" s="8" t="s">
        <v>510</v>
      </c>
      <c r="D6" s="8" t="s">
        <v>507</v>
      </c>
      <c r="E6" s="8" t="s">
        <v>1352</v>
      </c>
      <c r="F6" s="8" t="s">
        <v>1362</v>
      </c>
      <c r="G6" s="8"/>
      <c r="H6" s="8" t="s">
        <v>255</v>
      </c>
      <c r="I6" s="8" t="s">
        <v>725</v>
      </c>
      <c r="J6" s="8" t="s">
        <v>484</v>
      </c>
      <c r="K6" s="8" t="s">
        <v>513</v>
      </c>
    </row>
    <row r="7" customFormat="false" ht="23.25" hidden="false" customHeight="true" outlineLevel="0" collapsed="false">
      <c r="A7" s="8" t="s">
        <v>1363</v>
      </c>
      <c r="B7" s="8" t="s">
        <v>515</v>
      </c>
      <c r="C7" s="8" t="s">
        <v>514</v>
      </c>
      <c r="D7" s="8" t="s">
        <v>507</v>
      </c>
      <c r="E7" s="8" t="s">
        <v>1359</v>
      </c>
      <c r="F7" s="8" t="s">
        <v>1364</v>
      </c>
      <c r="G7" s="8"/>
      <c r="H7" s="8" t="s">
        <v>255</v>
      </c>
      <c r="I7" s="8" t="s">
        <v>725</v>
      </c>
      <c r="J7" s="8" t="s">
        <v>484</v>
      </c>
      <c r="K7" s="8" t="s">
        <v>516</v>
      </c>
    </row>
    <row r="8" customFormat="false" ht="23.25" hidden="false" customHeight="true" outlineLevel="0" collapsed="false">
      <c r="A8" s="8" t="s">
        <v>1365</v>
      </c>
      <c r="B8" s="8" t="s">
        <v>518</v>
      </c>
      <c r="C8" s="8" t="s">
        <v>517</v>
      </c>
      <c r="D8" s="8" t="s">
        <v>507</v>
      </c>
      <c r="E8" s="8" t="s">
        <v>1359</v>
      </c>
      <c r="F8" s="8" t="s">
        <v>1366</v>
      </c>
      <c r="G8" s="8"/>
      <c r="H8" s="8" t="s">
        <v>255</v>
      </c>
      <c r="I8" s="8" t="s">
        <v>725</v>
      </c>
      <c r="J8" s="8" t="s">
        <v>484</v>
      </c>
      <c r="K8" s="8" t="s">
        <v>519</v>
      </c>
    </row>
    <row r="9" customFormat="false" ht="23.25" hidden="false" customHeight="true" outlineLevel="0" collapsed="false">
      <c r="A9" s="8" t="s">
        <v>1367</v>
      </c>
      <c r="B9" s="8" t="s">
        <v>521</v>
      </c>
      <c r="C9" s="8" t="s">
        <v>520</v>
      </c>
      <c r="D9" s="8" t="s">
        <v>507</v>
      </c>
      <c r="E9" s="8" t="s">
        <v>1359</v>
      </c>
      <c r="F9" s="8" t="s">
        <v>1368</v>
      </c>
      <c r="G9" s="8"/>
      <c r="H9" s="8" t="s">
        <v>255</v>
      </c>
      <c r="I9" s="8" t="s">
        <v>255</v>
      </c>
      <c r="J9" s="8" t="s">
        <v>484</v>
      </c>
      <c r="K9" s="8" t="s">
        <v>524</v>
      </c>
    </row>
    <row r="10" customFormat="false" ht="23.25" hidden="false" customHeight="true" outlineLevel="0" collapsed="false">
      <c r="A10" s="8" t="s">
        <v>1369</v>
      </c>
      <c r="B10" s="8" t="s">
        <v>536</v>
      </c>
      <c r="C10" s="8" t="s">
        <v>535</v>
      </c>
      <c r="D10" s="8" t="s">
        <v>507</v>
      </c>
      <c r="E10" s="8" t="s">
        <v>1352</v>
      </c>
      <c r="F10" s="8" t="s">
        <v>1370</v>
      </c>
      <c r="G10" s="8"/>
      <c r="H10" s="8" t="s">
        <v>255</v>
      </c>
      <c r="I10" s="8" t="s">
        <v>725</v>
      </c>
      <c r="J10" s="8" t="s">
        <v>484</v>
      </c>
      <c r="K10" s="8" t="s">
        <v>534</v>
      </c>
    </row>
    <row r="11" customFormat="false" ht="23.25" hidden="false" customHeight="true" outlineLevel="0" collapsed="false">
      <c r="A11" s="8" t="s">
        <v>1371</v>
      </c>
      <c r="B11" s="8" t="s">
        <v>548</v>
      </c>
      <c r="C11" s="8" t="s">
        <v>547</v>
      </c>
      <c r="D11" s="8" t="s">
        <v>488</v>
      </c>
      <c r="E11" s="8" t="s">
        <v>1359</v>
      </c>
      <c r="F11" s="8" t="s">
        <v>1372</v>
      </c>
      <c r="G11" s="8"/>
      <c r="H11" s="8" t="s">
        <v>260</v>
      </c>
      <c r="I11" s="8" t="s">
        <v>732</v>
      </c>
      <c r="J11" s="8" t="s">
        <v>484</v>
      </c>
      <c r="K11" s="8" t="s">
        <v>551</v>
      </c>
    </row>
    <row r="12" customFormat="false" ht="15" hidden="false" customHeight="true" outlineLevel="0" collapsed="false">
      <c r="A12" s="8" t="s">
        <v>1373</v>
      </c>
      <c r="B12" s="8" t="s">
        <v>553</v>
      </c>
      <c r="C12" s="8" t="s">
        <v>552</v>
      </c>
      <c r="D12" s="8" t="s">
        <v>507</v>
      </c>
      <c r="E12" s="8" t="s">
        <v>1359</v>
      </c>
      <c r="F12" s="8" t="s">
        <v>1374</v>
      </c>
      <c r="G12" s="8"/>
      <c r="H12" s="8" t="s">
        <v>260</v>
      </c>
      <c r="I12" s="8" t="s">
        <v>732</v>
      </c>
      <c r="J12" s="8" t="s">
        <v>484</v>
      </c>
      <c r="K12" s="8" t="s">
        <v>554</v>
      </c>
    </row>
    <row r="13" customFormat="false" ht="23.25" hidden="false" customHeight="true" outlineLevel="0" collapsed="false">
      <c r="A13" s="8" t="s">
        <v>1375</v>
      </c>
      <c r="B13" s="8" t="s">
        <v>563</v>
      </c>
      <c r="C13" s="8" t="s">
        <v>562</v>
      </c>
      <c r="D13" s="8" t="s">
        <v>507</v>
      </c>
      <c r="E13" s="8" t="s">
        <v>1376</v>
      </c>
      <c r="F13" s="8" t="s">
        <v>1377</v>
      </c>
      <c r="G13" s="8"/>
      <c r="H13" s="8" t="s">
        <v>260</v>
      </c>
      <c r="I13" s="8" t="s">
        <v>732</v>
      </c>
      <c r="J13" s="8" t="s">
        <v>560</v>
      </c>
      <c r="K13" s="8" t="s">
        <v>564</v>
      </c>
    </row>
    <row r="14" customFormat="false" ht="23.25" hidden="false" customHeight="true" outlineLevel="0" collapsed="false">
      <c r="A14" s="8" t="s">
        <v>1378</v>
      </c>
      <c r="B14" s="8" t="s">
        <v>566</v>
      </c>
      <c r="C14" s="8" t="s">
        <v>565</v>
      </c>
      <c r="D14" s="8" t="s">
        <v>488</v>
      </c>
      <c r="E14" s="8" t="s">
        <v>1359</v>
      </c>
      <c r="F14" s="8" t="s">
        <v>1379</v>
      </c>
      <c r="G14" s="8"/>
      <c r="H14" s="8" t="s">
        <v>260</v>
      </c>
      <c r="I14" s="8" t="s">
        <v>732</v>
      </c>
      <c r="J14" s="8" t="s">
        <v>484</v>
      </c>
      <c r="K14" s="8" t="s">
        <v>567</v>
      </c>
    </row>
    <row r="15" customFormat="false" ht="23.25" hidden="false" customHeight="true" outlineLevel="0" collapsed="false">
      <c r="A15" s="8" t="s">
        <v>1380</v>
      </c>
      <c r="B15" s="8" t="s">
        <v>569</v>
      </c>
      <c r="C15" s="8" t="s">
        <v>568</v>
      </c>
      <c r="D15" s="8" t="s">
        <v>488</v>
      </c>
      <c r="E15" s="8" t="s">
        <v>1352</v>
      </c>
      <c r="F15" s="8" t="s">
        <v>1381</v>
      </c>
      <c r="G15" s="8"/>
      <c r="H15" s="8" t="s">
        <v>260</v>
      </c>
      <c r="I15" s="8" t="s">
        <v>732</v>
      </c>
      <c r="J15" s="8" t="s">
        <v>484</v>
      </c>
      <c r="K15" s="8" t="s">
        <v>571</v>
      </c>
    </row>
    <row r="16" customFormat="false" ht="15" hidden="false" customHeight="true" outlineLevel="0" collapsed="false">
      <c r="A16" s="8" t="s">
        <v>1382</v>
      </c>
      <c r="B16" s="8" t="s">
        <v>573</v>
      </c>
      <c r="C16" s="8" t="s">
        <v>572</v>
      </c>
      <c r="D16" s="8" t="s">
        <v>488</v>
      </c>
      <c r="E16" s="8" t="s">
        <v>1376</v>
      </c>
      <c r="F16" s="8" t="s">
        <v>1383</v>
      </c>
      <c r="G16" s="8"/>
      <c r="H16" s="8" t="s">
        <v>263</v>
      </c>
      <c r="I16" s="8" t="s">
        <v>263</v>
      </c>
      <c r="J16" s="8" t="s">
        <v>484</v>
      </c>
      <c r="K16" s="8" t="s">
        <v>575</v>
      </c>
    </row>
    <row r="17" customFormat="false" ht="15" hidden="false" customHeight="true" outlineLevel="0" collapsed="false">
      <c r="A17" s="8" t="s">
        <v>1384</v>
      </c>
      <c r="B17" s="8" t="s">
        <v>577</v>
      </c>
      <c r="C17" s="8" t="s">
        <v>576</v>
      </c>
      <c r="D17" s="8" t="s">
        <v>488</v>
      </c>
      <c r="E17" s="8" t="s">
        <v>1376</v>
      </c>
      <c r="F17" s="8" t="s">
        <v>1385</v>
      </c>
      <c r="G17" s="8"/>
      <c r="H17" s="8" t="s">
        <v>263</v>
      </c>
      <c r="I17" s="8" t="s">
        <v>263</v>
      </c>
      <c r="J17" s="8" t="s">
        <v>484</v>
      </c>
      <c r="K17" s="8" t="s">
        <v>578</v>
      </c>
    </row>
    <row r="18" customFormat="false" ht="15" hidden="false" customHeight="true" outlineLevel="0" collapsed="false">
      <c r="A18" s="8" t="s">
        <v>1386</v>
      </c>
      <c r="B18" s="8" t="s">
        <v>580</v>
      </c>
      <c r="C18" s="8" t="s">
        <v>579</v>
      </c>
      <c r="D18" s="8" t="s">
        <v>488</v>
      </c>
      <c r="E18" s="8" t="s">
        <v>1376</v>
      </c>
      <c r="F18" s="8" t="s">
        <v>1387</v>
      </c>
      <c r="G18" s="8"/>
      <c r="H18" s="8" t="s">
        <v>263</v>
      </c>
      <c r="I18" s="8" t="s">
        <v>263</v>
      </c>
      <c r="J18" s="8" t="s">
        <v>484</v>
      </c>
      <c r="K18" s="8" t="s">
        <v>582</v>
      </c>
    </row>
    <row r="19" customFormat="false" ht="15" hidden="false" customHeight="true" outlineLevel="0" collapsed="false">
      <c r="A19" s="8" t="s">
        <v>1388</v>
      </c>
      <c r="B19" s="8" t="s">
        <v>584</v>
      </c>
      <c r="C19" s="8" t="s">
        <v>583</v>
      </c>
      <c r="D19" s="8" t="s">
        <v>488</v>
      </c>
      <c r="E19" s="8" t="s">
        <v>1352</v>
      </c>
      <c r="F19" s="8" t="s">
        <v>1389</v>
      </c>
      <c r="G19" s="8"/>
      <c r="H19" s="8" t="s">
        <v>263</v>
      </c>
      <c r="I19" s="8" t="s">
        <v>263</v>
      </c>
      <c r="J19" s="8" t="s">
        <v>484</v>
      </c>
      <c r="K19" s="8" t="s">
        <v>578</v>
      </c>
    </row>
    <row r="20" customFormat="false" ht="15" hidden="false" customHeight="true" outlineLevel="0" collapsed="false">
      <c r="A20" s="8" t="s">
        <v>1390</v>
      </c>
      <c r="B20" s="8" t="s">
        <v>586</v>
      </c>
      <c r="C20" s="8" t="s">
        <v>585</v>
      </c>
      <c r="D20" s="8" t="s">
        <v>488</v>
      </c>
      <c r="E20" s="8" t="s">
        <v>1376</v>
      </c>
      <c r="F20" s="8" t="s">
        <v>1391</v>
      </c>
      <c r="G20" s="8"/>
      <c r="H20" s="8" t="s">
        <v>263</v>
      </c>
      <c r="I20" s="8" t="s">
        <v>263</v>
      </c>
      <c r="J20" s="8" t="s">
        <v>484</v>
      </c>
      <c r="K20" s="8" t="s">
        <v>587</v>
      </c>
    </row>
    <row r="21" customFormat="false" ht="15" hidden="false" customHeight="true" outlineLevel="0" collapsed="false">
      <c r="A21" s="8" t="s">
        <v>1392</v>
      </c>
      <c r="B21" s="8" t="s">
        <v>589</v>
      </c>
      <c r="C21" s="8" t="s">
        <v>588</v>
      </c>
      <c r="D21" s="8" t="s">
        <v>590</v>
      </c>
      <c r="E21" s="8" t="s">
        <v>1393</v>
      </c>
      <c r="F21" s="8" t="s">
        <v>1394</v>
      </c>
      <c r="G21" s="8" t="s">
        <v>1395</v>
      </c>
      <c r="H21" s="8" t="s">
        <v>263</v>
      </c>
      <c r="I21" s="8" t="s">
        <v>263</v>
      </c>
      <c r="J21" s="8" t="s">
        <v>484</v>
      </c>
      <c r="K21" s="8" t="s">
        <v>591</v>
      </c>
    </row>
    <row r="22" customFormat="false" ht="23.25" hidden="false" customHeight="true" outlineLevel="0" collapsed="false">
      <c r="A22" s="8" t="s">
        <v>1396</v>
      </c>
      <c r="B22" s="8" t="s">
        <v>1397</v>
      </c>
      <c r="C22" s="8"/>
      <c r="D22" s="8" t="s">
        <v>590</v>
      </c>
      <c r="E22" s="8" t="s">
        <v>1393</v>
      </c>
      <c r="F22" s="8" t="s">
        <v>1398</v>
      </c>
      <c r="G22" s="8" t="s">
        <v>1399</v>
      </c>
      <c r="H22" s="8" t="s">
        <v>260</v>
      </c>
      <c r="I22" s="8" t="s">
        <v>732</v>
      </c>
      <c r="J22" s="8" t="s">
        <v>484</v>
      </c>
      <c r="K22" s="8" t="s">
        <v>1400</v>
      </c>
    </row>
    <row r="23" customFormat="false" ht="15" hidden="false" customHeight="true" outlineLevel="0" collapsed="false">
      <c r="A23" s="8" t="s">
        <v>1401</v>
      </c>
      <c r="B23" s="8" t="s">
        <v>1402</v>
      </c>
      <c r="C23" s="8"/>
      <c r="D23" s="8" t="s">
        <v>590</v>
      </c>
      <c r="E23" s="8" t="s">
        <v>1393</v>
      </c>
      <c r="F23" s="8" t="s">
        <v>1403</v>
      </c>
      <c r="G23" s="8" t="s">
        <v>1404</v>
      </c>
      <c r="H23" s="8" t="s">
        <v>260</v>
      </c>
      <c r="I23" s="8" t="s">
        <v>732</v>
      </c>
      <c r="J23" s="8" t="s">
        <v>484</v>
      </c>
      <c r="K23" s="8" t="s">
        <v>1400</v>
      </c>
    </row>
    <row r="24" customFormat="false" ht="23.85" hidden="false" customHeight="false" outlineLevel="0" collapsed="false">
      <c r="A24" s="10" t="s">
        <v>1405</v>
      </c>
      <c r="B24" s="10" t="s">
        <v>608</v>
      </c>
      <c r="C24" s="10" t="s">
        <v>607</v>
      </c>
      <c r="D24" s="10" t="s">
        <v>488</v>
      </c>
      <c r="E24" s="10" t="s">
        <v>1352</v>
      </c>
      <c r="F24" s="10" t="s">
        <v>1406</v>
      </c>
      <c r="G24" s="10"/>
      <c r="H24" s="10" t="s">
        <v>260</v>
      </c>
      <c r="I24" s="10" t="s">
        <v>732</v>
      </c>
      <c r="J24" s="10" t="s">
        <v>560</v>
      </c>
      <c r="K24" s="10" t="s">
        <v>1407</v>
      </c>
    </row>
    <row r="25" customFormat="false" ht="23.85" hidden="false" customHeight="false" outlineLevel="0" collapsed="false">
      <c r="A25" s="10" t="s">
        <v>1408</v>
      </c>
      <c r="B25" s="10" t="s">
        <v>613</v>
      </c>
      <c r="C25" s="10" t="s">
        <v>612</v>
      </c>
      <c r="D25" s="10" t="s">
        <v>488</v>
      </c>
      <c r="E25" s="10" t="s">
        <v>1352</v>
      </c>
      <c r="F25" s="10" t="s">
        <v>1409</v>
      </c>
      <c r="G25" s="10"/>
      <c r="H25" s="10" t="s">
        <v>260</v>
      </c>
      <c r="I25" s="10" t="s">
        <v>732</v>
      </c>
      <c r="J25" s="10" t="s">
        <v>560</v>
      </c>
      <c r="K25" s="10" t="s">
        <v>1410</v>
      </c>
    </row>
    <row r="26" customFormat="false" ht="23.85" hidden="false" customHeight="false" outlineLevel="0" collapsed="false">
      <c r="A26" s="10" t="s">
        <v>1411</v>
      </c>
      <c r="B26" s="10" t="s">
        <v>616</v>
      </c>
      <c r="C26" s="10" t="s">
        <v>615</v>
      </c>
      <c r="D26" s="10" t="s">
        <v>488</v>
      </c>
      <c r="E26" s="10" t="s">
        <v>1352</v>
      </c>
      <c r="F26" s="10" t="s">
        <v>1412</v>
      </c>
      <c r="G26" s="10"/>
      <c r="H26" s="10" t="s">
        <v>263</v>
      </c>
      <c r="I26" s="10" t="s">
        <v>263</v>
      </c>
      <c r="J26" s="10" t="s">
        <v>560</v>
      </c>
      <c r="K26" s="10" t="s">
        <v>1413</v>
      </c>
    </row>
    <row r="27" customFormat="false" ht="23.85" hidden="false" customHeight="false" outlineLevel="0" collapsed="false">
      <c r="A27" s="10" t="s">
        <v>1414</v>
      </c>
      <c r="B27" s="10" t="s">
        <v>1415</v>
      </c>
      <c r="C27" s="10" t="s">
        <v>618</v>
      </c>
      <c r="D27" s="10" t="s">
        <v>590</v>
      </c>
      <c r="E27" s="10" t="s">
        <v>1393</v>
      </c>
      <c r="F27" s="10" t="s">
        <v>1416</v>
      </c>
      <c r="G27" s="10" t="s">
        <v>1417</v>
      </c>
      <c r="H27" s="10" t="s">
        <v>263</v>
      </c>
      <c r="I27" s="10" t="s">
        <v>263</v>
      </c>
      <c r="J27" s="10" t="s">
        <v>560</v>
      </c>
      <c r="K27" s="10" t="s">
        <v>1418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1" width="70"/>
    <col collapsed="false" customWidth="true" hidden="false" outlineLevel="0" max="4" min="4" style="1" width="34"/>
    <col collapsed="false" customWidth="true" hidden="false" outlineLevel="0" max="5" min="5" style="1" width="54"/>
    <col collapsed="false" customWidth="true" hidden="false" outlineLevel="0" max="6" min="6" style="1" width="30"/>
  </cols>
  <sheetData>
    <row r="1" customFormat="false" ht="15" hidden="false" customHeight="true" outlineLevel="0" collapsed="false">
      <c r="A1" s="7" t="s">
        <v>1419</v>
      </c>
      <c r="B1" s="7" t="s">
        <v>1135</v>
      </c>
      <c r="C1" s="7" t="s">
        <v>1420</v>
      </c>
      <c r="D1" s="7" t="s">
        <v>1421</v>
      </c>
      <c r="E1" s="7" t="s">
        <v>1422</v>
      </c>
      <c r="F1" s="7" t="s">
        <v>241</v>
      </c>
    </row>
    <row r="2" customFormat="false" ht="23.25" hidden="false" customHeight="true" outlineLevel="0" collapsed="false">
      <c r="A2" s="8" t="s">
        <v>1176</v>
      </c>
      <c r="B2" s="8" t="s">
        <v>1171</v>
      </c>
      <c r="C2" s="8" t="s">
        <v>1423</v>
      </c>
      <c r="D2" s="8" t="s">
        <v>1424</v>
      </c>
      <c r="E2" s="8" t="s">
        <v>1425</v>
      </c>
      <c r="F2" s="8" t="s">
        <v>1426</v>
      </c>
    </row>
    <row r="3" customFormat="false" ht="15" hidden="false" customHeight="true" outlineLevel="0" collapsed="false">
      <c r="A3" s="8" t="s">
        <v>1170</v>
      </c>
      <c r="B3" s="8" t="s">
        <v>1171</v>
      </c>
      <c r="C3" s="8" t="s">
        <v>1427</v>
      </c>
      <c r="D3" s="8" t="s">
        <v>1428</v>
      </c>
      <c r="E3" s="8" t="s">
        <v>1429</v>
      </c>
      <c r="F3" s="8" t="s">
        <v>304</v>
      </c>
    </row>
    <row r="4" customFormat="false" ht="15" hidden="false" customHeight="true" outlineLevel="0" collapsed="false">
      <c r="A4" s="8" t="s">
        <v>1180</v>
      </c>
      <c r="B4" s="8" t="s">
        <v>1171</v>
      </c>
      <c r="C4" s="8" t="s">
        <v>1430</v>
      </c>
      <c r="D4" s="8" t="s">
        <v>1431</v>
      </c>
      <c r="E4" s="8" t="s">
        <v>1432</v>
      </c>
      <c r="F4" s="8" t="s">
        <v>1433</v>
      </c>
    </row>
    <row r="5" customFormat="false" ht="23.25" hidden="false" customHeight="true" outlineLevel="0" collapsed="false">
      <c r="A5" s="8" t="s">
        <v>1434</v>
      </c>
      <c r="B5" s="8" t="s">
        <v>1435</v>
      </c>
      <c r="C5" s="8" t="s">
        <v>1436</v>
      </c>
      <c r="D5" s="8" t="s">
        <v>1437</v>
      </c>
      <c r="E5" s="8" t="s">
        <v>1438</v>
      </c>
      <c r="F5" s="8" t="s">
        <v>1439</v>
      </c>
    </row>
    <row r="6" customFormat="false" ht="15" hidden="false" customHeight="true" outlineLevel="0" collapsed="false">
      <c r="A6" s="8" t="s">
        <v>1202</v>
      </c>
      <c r="B6" s="8" t="s">
        <v>1141</v>
      </c>
      <c r="C6" s="8" t="s">
        <v>1440</v>
      </c>
      <c r="D6" s="8" t="s">
        <v>322</v>
      </c>
      <c r="E6" s="8" t="s">
        <v>1441</v>
      </c>
      <c r="F6" s="8" t="s">
        <v>316</v>
      </c>
    </row>
    <row r="7" customFormat="false" ht="34.5" hidden="false" customHeight="true" outlineLevel="0" collapsed="false">
      <c r="A7" s="8" t="s">
        <v>1442</v>
      </c>
      <c r="B7" s="8" t="s">
        <v>1435</v>
      </c>
      <c r="C7" s="8" t="s">
        <v>1443</v>
      </c>
      <c r="D7" s="8" t="s">
        <v>1444</v>
      </c>
      <c r="E7" s="8" t="s">
        <v>1445</v>
      </c>
      <c r="F7" s="8" t="s">
        <v>859</v>
      </c>
    </row>
    <row r="8" customFormat="false" ht="23.25" hidden="false" customHeight="true" outlineLevel="0" collapsed="false">
      <c r="A8" s="8" t="s">
        <v>1446</v>
      </c>
      <c r="B8" s="8" t="s">
        <v>1435</v>
      </c>
      <c r="C8" s="8" t="s">
        <v>1447</v>
      </c>
      <c r="D8" s="8" t="s">
        <v>1448</v>
      </c>
      <c r="E8" s="8" t="s">
        <v>1449</v>
      </c>
      <c r="F8" s="8" t="s">
        <v>1450</v>
      </c>
    </row>
    <row r="9" customFormat="false" ht="15" hidden="false" customHeight="true" outlineLevel="0" collapsed="false">
      <c r="A9" s="8" t="s">
        <v>1451</v>
      </c>
      <c r="B9" s="8" t="s">
        <v>1435</v>
      </c>
      <c r="C9" s="8" t="s">
        <v>1452</v>
      </c>
      <c r="D9" s="8" t="s">
        <v>1448</v>
      </c>
      <c r="E9" s="8" t="s">
        <v>1453</v>
      </c>
      <c r="F9" s="8" t="s">
        <v>1454</v>
      </c>
    </row>
    <row r="10" customFormat="false" ht="15" hidden="false" customHeight="true" outlineLevel="0" collapsed="false">
      <c r="A10" s="8" t="s">
        <v>1455</v>
      </c>
      <c r="B10" s="8" t="s">
        <v>1435</v>
      </c>
      <c r="C10" s="8" t="s">
        <v>1456</v>
      </c>
      <c r="D10" s="8" t="s">
        <v>1457</v>
      </c>
      <c r="E10" s="8" t="s">
        <v>1458</v>
      </c>
      <c r="F10" s="8" t="s">
        <v>886</v>
      </c>
    </row>
    <row r="11" customFormat="false" ht="23.25" hidden="false" customHeight="true" outlineLevel="0" collapsed="false">
      <c r="A11" s="8" t="s">
        <v>1459</v>
      </c>
      <c r="B11" s="8" t="s">
        <v>1460</v>
      </c>
      <c r="C11" s="8" t="s">
        <v>1461</v>
      </c>
      <c r="D11" s="8" t="s">
        <v>1462</v>
      </c>
      <c r="E11" s="8" t="s">
        <v>1463</v>
      </c>
      <c r="F11" s="8" t="s">
        <v>1464</v>
      </c>
    </row>
    <row r="12" customFormat="false" ht="34.5" hidden="false" customHeight="true" outlineLevel="0" collapsed="false">
      <c r="A12" s="8" t="s">
        <v>1465</v>
      </c>
      <c r="B12" s="8" t="s">
        <v>1460</v>
      </c>
      <c r="C12" s="8" t="s">
        <v>1466</v>
      </c>
      <c r="D12" s="8" t="s">
        <v>1467</v>
      </c>
      <c r="E12" s="8" t="s">
        <v>1468</v>
      </c>
      <c r="F12" s="8" t="s">
        <v>870</v>
      </c>
    </row>
    <row r="13" customFormat="false" ht="23.25" hidden="false" customHeight="true" outlineLevel="0" collapsed="false">
      <c r="A13" s="8" t="s">
        <v>1469</v>
      </c>
      <c r="B13" s="8" t="s">
        <v>1460</v>
      </c>
      <c r="C13" s="8" t="s">
        <v>1470</v>
      </c>
      <c r="D13" s="8" t="s">
        <v>1471</v>
      </c>
      <c r="E13" s="8" t="s">
        <v>1472</v>
      </c>
      <c r="F13" s="8" t="s">
        <v>1473</v>
      </c>
    </row>
    <row r="14" customFormat="false" ht="23.25" hidden="false" customHeight="true" outlineLevel="0" collapsed="false">
      <c r="A14" s="8" t="s">
        <v>1214</v>
      </c>
      <c r="B14" s="8" t="s">
        <v>1141</v>
      </c>
      <c r="C14" s="8" t="s">
        <v>1440</v>
      </c>
      <c r="D14" s="8" t="s">
        <v>1474</v>
      </c>
      <c r="E14" s="8" t="s">
        <v>1475</v>
      </c>
      <c r="F14" s="8" t="s">
        <v>312</v>
      </c>
    </row>
    <row r="15" customFormat="false" ht="15" hidden="false" customHeight="true" outlineLevel="0" collapsed="false">
      <c r="A15" s="8" t="s">
        <v>1218</v>
      </c>
      <c r="B15" s="8" t="s">
        <v>1141</v>
      </c>
      <c r="C15" s="8" t="s">
        <v>1476</v>
      </c>
      <c r="D15" s="8" t="s">
        <v>1477</v>
      </c>
      <c r="E15" s="8" t="s">
        <v>1478</v>
      </c>
      <c r="F15" s="8" t="s">
        <v>1223</v>
      </c>
    </row>
    <row r="16" customFormat="false" ht="23.25" hidden="false" customHeight="true" outlineLevel="0" collapsed="false">
      <c r="A16" s="8" t="s">
        <v>1479</v>
      </c>
      <c r="B16" s="8" t="s">
        <v>1141</v>
      </c>
      <c r="C16" s="8" t="s">
        <v>1440</v>
      </c>
      <c r="D16" s="8" t="s">
        <v>1480</v>
      </c>
      <c r="E16" s="8" t="s">
        <v>1481</v>
      </c>
      <c r="F16" s="8" t="s">
        <v>1482</v>
      </c>
    </row>
    <row r="17" customFormat="false" ht="23.25" hidden="false" customHeight="true" outlineLevel="0" collapsed="false">
      <c r="A17" s="8" t="s">
        <v>1483</v>
      </c>
      <c r="B17" s="8" t="s">
        <v>1435</v>
      </c>
      <c r="C17" s="8" t="s">
        <v>1484</v>
      </c>
      <c r="D17" s="8" t="s">
        <v>1485</v>
      </c>
      <c r="E17" s="8" t="s">
        <v>1486</v>
      </c>
      <c r="F17" s="8" t="s">
        <v>1487</v>
      </c>
    </row>
    <row r="18" customFormat="false" ht="23.25" hidden="false" customHeight="true" outlineLevel="0" collapsed="false">
      <c r="A18" s="8" t="s">
        <v>1488</v>
      </c>
      <c r="B18" s="8" t="s">
        <v>1489</v>
      </c>
      <c r="C18" s="8" t="s">
        <v>1490</v>
      </c>
      <c r="D18" s="8" t="s">
        <v>1448</v>
      </c>
      <c r="E18" s="8" t="s">
        <v>1491</v>
      </c>
      <c r="F18" s="8" t="s">
        <v>1492</v>
      </c>
    </row>
    <row r="19" customFormat="false" ht="23.25" hidden="false" customHeight="true" outlineLevel="0" collapsed="false">
      <c r="A19" s="8" t="s">
        <v>1493</v>
      </c>
      <c r="B19" s="8" t="s">
        <v>1141</v>
      </c>
      <c r="C19" s="8" t="s">
        <v>1440</v>
      </c>
      <c r="D19" s="8" t="s">
        <v>1494</v>
      </c>
      <c r="E19" s="8" t="s">
        <v>1495</v>
      </c>
      <c r="F19" s="8" t="s">
        <v>1217</v>
      </c>
    </row>
    <row r="20" customFormat="false" ht="15" hidden="false" customHeight="true" outlineLevel="0" collapsed="false">
      <c r="A20" s="8" t="s">
        <v>1496</v>
      </c>
      <c r="B20" s="8" t="s">
        <v>1141</v>
      </c>
      <c r="C20" s="8" t="s">
        <v>1440</v>
      </c>
      <c r="D20" s="8" t="s">
        <v>1497</v>
      </c>
      <c r="E20" s="8" t="s">
        <v>1498</v>
      </c>
      <c r="F20" s="8" t="s">
        <v>1499</v>
      </c>
    </row>
    <row r="21" customFormat="false" ht="23.25" hidden="false" customHeight="true" outlineLevel="0" collapsed="false">
      <c r="A21" s="8" t="s">
        <v>1500</v>
      </c>
      <c r="B21" s="8" t="s">
        <v>1141</v>
      </c>
      <c r="C21" s="8" t="s">
        <v>1440</v>
      </c>
      <c r="D21" s="8" t="s">
        <v>1501</v>
      </c>
      <c r="E21" s="8" t="s">
        <v>1502</v>
      </c>
      <c r="F21" s="8" t="s">
        <v>1503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46"/>
    <col collapsed="false" customWidth="true" hidden="false" outlineLevel="0" max="4" min="4" style="1" width="56"/>
    <col collapsed="false" customWidth="true" hidden="false" outlineLevel="0" max="5" min="5" style="1" width="40"/>
    <col collapsed="false" customWidth="true" hidden="false" outlineLevel="0" max="6" min="6" style="1" width="14"/>
  </cols>
  <sheetData>
    <row r="1" customFormat="false" ht="15" hidden="false" customHeight="true" outlineLevel="0" collapsed="false">
      <c r="A1" s="7" t="s">
        <v>1504</v>
      </c>
      <c r="B1" s="7" t="s">
        <v>1505</v>
      </c>
      <c r="C1" s="7" t="s">
        <v>1506</v>
      </c>
      <c r="D1" s="7" t="s">
        <v>367</v>
      </c>
      <c r="E1" s="7" t="s">
        <v>1507</v>
      </c>
      <c r="F1" s="7" t="s">
        <v>241</v>
      </c>
    </row>
    <row r="2" customFormat="false" ht="15" hidden="false" customHeight="true" outlineLevel="0" collapsed="false">
      <c r="A2" s="8" t="s">
        <v>1508</v>
      </c>
      <c r="B2" s="8" t="s">
        <v>1509</v>
      </c>
      <c r="C2" s="8" t="s">
        <v>1510</v>
      </c>
      <c r="D2" s="8" t="s">
        <v>1511</v>
      </c>
      <c r="E2" s="8"/>
      <c r="F2" s="8" t="s">
        <v>1512</v>
      </c>
    </row>
    <row r="3" customFormat="false" ht="15" hidden="false" customHeight="true" outlineLevel="0" collapsed="false">
      <c r="A3" s="8" t="s">
        <v>1513</v>
      </c>
      <c r="B3" s="8" t="s">
        <v>1509</v>
      </c>
      <c r="C3" s="8" t="s">
        <v>1514</v>
      </c>
      <c r="D3" s="8"/>
      <c r="E3" s="8"/>
      <c r="F3" s="8" t="s">
        <v>1512</v>
      </c>
    </row>
    <row r="4" customFormat="false" ht="15" hidden="false" customHeight="true" outlineLevel="0" collapsed="false">
      <c r="A4" s="8" t="s">
        <v>1515</v>
      </c>
      <c r="B4" s="8" t="s">
        <v>1509</v>
      </c>
      <c r="C4" s="8" t="s">
        <v>1516</v>
      </c>
      <c r="D4" s="8"/>
      <c r="E4" s="8"/>
      <c r="F4" s="8" t="s">
        <v>1512</v>
      </c>
    </row>
    <row r="5" customFormat="false" ht="15" hidden="false" customHeight="true" outlineLevel="0" collapsed="false">
      <c r="A5" s="8" t="s">
        <v>1517</v>
      </c>
      <c r="B5" s="8" t="s">
        <v>1509</v>
      </c>
      <c r="C5" s="8" t="s">
        <v>1518</v>
      </c>
      <c r="D5" s="8" t="s">
        <v>1511</v>
      </c>
      <c r="E5" s="8"/>
      <c r="F5" s="8" t="s">
        <v>1512</v>
      </c>
    </row>
    <row r="6" customFormat="false" ht="15" hidden="false" customHeight="true" outlineLevel="0" collapsed="false">
      <c r="A6" s="8" t="s">
        <v>1519</v>
      </c>
      <c r="B6" s="8" t="s">
        <v>1509</v>
      </c>
      <c r="C6" s="8" t="s">
        <v>1520</v>
      </c>
      <c r="D6" s="8"/>
      <c r="E6" s="8"/>
      <c r="F6" s="8" t="s">
        <v>1512</v>
      </c>
    </row>
    <row r="7" customFormat="false" ht="15" hidden="false" customHeight="true" outlineLevel="0" collapsed="false">
      <c r="A7" s="8" t="s">
        <v>1521</v>
      </c>
      <c r="B7" s="8" t="s">
        <v>1509</v>
      </c>
      <c r="C7" s="8" t="s">
        <v>1522</v>
      </c>
      <c r="D7" s="8" t="s">
        <v>1511</v>
      </c>
      <c r="E7" s="8" t="s">
        <v>1523</v>
      </c>
      <c r="F7" s="8" t="s">
        <v>1512</v>
      </c>
    </row>
    <row r="8" customFormat="false" ht="15" hidden="false" customHeight="true" outlineLevel="0" collapsed="false">
      <c r="A8" s="8" t="s">
        <v>1524</v>
      </c>
      <c r="B8" s="8" t="s">
        <v>1509</v>
      </c>
      <c r="C8" s="8" t="s">
        <v>1525</v>
      </c>
      <c r="D8" s="8"/>
      <c r="E8" s="8"/>
      <c r="F8" s="8" t="s">
        <v>1512</v>
      </c>
    </row>
    <row r="9" customFormat="false" ht="15" hidden="false" customHeight="true" outlineLevel="0" collapsed="false">
      <c r="A9" s="8" t="s">
        <v>1526</v>
      </c>
      <c r="B9" s="8" t="s">
        <v>1509</v>
      </c>
      <c r="C9" s="8" t="s">
        <v>1527</v>
      </c>
      <c r="D9" s="8"/>
      <c r="E9" s="8"/>
      <c r="F9" s="8" t="s">
        <v>1512</v>
      </c>
    </row>
    <row r="10" customFormat="false" ht="23.25" hidden="false" customHeight="true" outlineLevel="0" collapsed="false">
      <c r="A10" s="8" t="s">
        <v>1528</v>
      </c>
      <c r="B10" s="8" t="s">
        <v>1529</v>
      </c>
      <c r="C10" s="8" t="s">
        <v>1530</v>
      </c>
      <c r="D10" s="8" t="s">
        <v>1531</v>
      </c>
      <c r="E10" s="8"/>
      <c r="F10" s="8" t="s">
        <v>1512</v>
      </c>
    </row>
    <row r="11" customFormat="false" ht="15" hidden="false" customHeight="true" outlineLevel="0" collapsed="false">
      <c r="A11" s="8" t="s">
        <v>1532</v>
      </c>
      <c r="B11" s="8" t="s">
        <v>1529</v>
      </c>
      <c r="C11" s="8" t="s">
        <v>1533</v>
      </c>
      <c r="D11" s="8" t="s">
        <v>1534</v>
      </c>
      <c r="E11" s="8"/>
      <c r="F11" s="8" t="s">
        <v>1512</v>
      </c>
    </row>
    <row r="12" customFormat="false" ht="15" hidden="false" customHeight="true" outlineLevel="0" collapsed="false">
      <c r="A12" s="8" t="s">
        <v>1535</v>
      </c>
      <c r="B12" s="8" t="s">
        <v>1529</v>
      </c>
      <c r="C12" s="8" t="s">
        <v>1536</v>
      </c>
      <c r="D12" s="8"/>
      <c r="E12" s="8"/>
      <c r="F12" s="8" t="s">
        <v>1512</v>
      </c>
    </row>
    <row r="13" customFormat="false" ht="15" hidden="false" customHeight="true" outlineLevel="0" collapsed="false">
      <c r="A13" s="8" t="s">
        <v>1537</v>
      </c>
      <c r="B13" s="8" t="s">
        <v>1529</v>
      </c>
      <c r="C13" s="8" t="s">
        <v>1538</v>
      </c>
      <c r="D13" s="8"/>
      <c r="E13" s="8"/>
      <c r="F13" s="8" t="s">
        <v>1512</v>
      </c>
    </row>
    <row r="14" customFormat="false" ht="15" hidden="false" customHeight="true" outlineLevel="0" collapsed="false">
      <c r="A14" s="8" t="s">
        <v>1539</v>
      </c>
      <c r="B14" s="8" t="s">
        <v>1529</v>
      </c>
      <c r="C14" s="8" t="s">
        <v>1540</v>
      </c>
      <c r="D14" s="8"/>
      <c r="E14" s="8"/>
      <c r="F14" s="8" t="s">
        <v>1512</v>
      </c>
    </row>
    <row r="15" customFormat="false" ht="15" hidden="false" customHeight="true" outlineLevel="0" collapsed="false">
      <c r="A15" s="8" t="s">
        <v>1541</v>
      </c>
      <c r="B15" s="8" t="s">
        <v>1542</v>
      </c>
      <c r="C15" s="8" t="s">
        <v>1543</v>
      </c>
      <c r="D15" s="8" t="s">
        <v>1544</v>
      </c>
      <c r="E15" s="8"/>
      <c r="F15" s="8" t="s">
        <v>1512</v>
      </c>
    </row>
    <row r="16" customFormat="false" ht="15" hidden="false" customHeight="true" outlineLevel="0" collapsed="false">
      <c r="A16" s="8" t="s">
        <v>1545</v>
      </c>
      <c r="B16" s="8" t="s">
        <v>1542</v>
      </c>
      <c r="C16" s="8" t="s">
        <v>1546</v>
      </c>
      <c r="D16" s="8"/>
      <c r="E16" s="8"/>
      <c r="F16" s="8" t="s">
        <v>1512</v>
      </c>
    </row>
    <row r="17" customFormat="false" ht="15" hidden="false" customHeight="true" outlineLevel="0" collapsed="false">
      <c r="A17" s="8" t="s">
        <v>1547</v>
      </c>
      <c r="B17" s="8" t="s">
        <v>1548</v>
      </c>
      <c r="C17" s="8" t="s">
        <v>1549</v>
      </c>
      <c r="D17" s="8"/>
      <c r="E17" s="8"/>
      <c r="F17" s="8" t="s">
        <v>1512</v>
      </c>
    </row>
    <row r="18" customFormat="false" ht="15" hidden="false" customHeight="true" outlineLevel="0" collapsed="false">
      <c r="A18" s="8" t="s">
        <v>1550</v>
      </c>
      <c r="B18" s="8" t="s">
        <v>1548</v>
      </c>
      <c r="C18" s="8" t="s">
        <v>1551</v>
      </c>
      <c r="D18" s="8"/>
      <c r="E18" s="8"/>
      <c r="F18" s="8" t="s">
        <v>1512</v>
      </c>
    </row>
    <row r="19" customFormat="false" ht="15" hidden="false" customHeight="true" outlineLevel="0" collapsed="false">
      <c r="A19" s="8" t="s">
        <v>1552</v>
      </c>
      <c r="B19" s="8" t="s">
        <v>1548</v>
      </c>
      <c r="C19" s="8" t="s">
        <v>1553</v>
      </c>
      <c r="D19" s="8"/>
      <c r="E19" s="8"/>
      <c r="F19" s="8" t="s">
        <v>1512</v>
      </c>
    </row>
    <row r="20" customFormat="false" ht="15" hidden="false" customHeight="true" outlineLevel="0" collapsed="false">
      <c r="A20" s="8" t="s">
        <v>1554</v>
      </c>
      <c r="B20" s="8" t="s">
        <v>1548</v>
      </c>
      <c r="C20" s="8" t="s">
        <v>1555</v>
      </c>
      <c r="D20" s="8"/>
      <c r="E20" s="8"/>
      <c r="F20" s="8" t="s">
        <v>1512</v>
      </c>
    </row>
    <row r="21" customFormat="false" ht="15" hidden="false" customHeight="true" outlineLevel="0" collapsed="false">
      <c r="A21" s="8" t="s">
        <v>1556</v>
      </c>
      <c r="B21" s="8" t="s">
        <v>1557</v>
      </c>
      <c r="C21" s="8" t="s">
        <v>1558</v>
      </c>
      <c r="D21" s="8"/>
      <c r="E21" s="8"/>
      <c r="F21" s="8" t="s">
        <v>1512</v>
      </c>
    </row>
    <row r="22" customFormat="false" ht="15" hidden="false" customHeight="true" outlineLevel="0" collapsed="false">
      <c r="A22" s="8" t="s">
        <v>1559</v>
      </c>
      <c r="B22" s="8" t="s">
        <v>1557</v>
      </c>
      <c r="C22" s="8" t="s">
        <v>1560</v>
      </c>
      <c r="D22" s="8"/>
      <c r="E22" s="8"/>
      <c r="F22" s="8" t="s">
        <v>1512</v>
      </c>
    </row>
    <row r="23" customFormat="false" ht="15" hidden="false" customHeight="true" outlineLevel="0" collapsed="false">
      <c r="A23" s="8" t="s">
        <v>1561</v>
      </c>
      <c r="B23" s="8" t="s">
        <v>1557</v>
      </c>
      <c r="C23" s="8" t="s">
        <v>1562</v>
      </c>
      <c r="D23" s="8"/>
      <c r="E23" s="8"/>
      <c r="F23" s="8" t="s">
        <v>1512</v>
      </c>
    </row>
    <row r="24" customFormat="false" ht="15" hidden="false" customHeight="true" outlineLevel="0" collapsed="false">
      <c r="A24" s="8" t="s">
        <v>1563</v>
      </c>
      <c r="B24" s="8" t="s">
        <v>1564</v>
      </c>
      <c r="C24" s="8" t="s">
        <v>1565</v>
      </c>
      <c r="D24" s="8"/>
      <c r="E24" s="8"/>
      <c r="F24" s="8" t="s">
        <v>1512</v>
      </c>
    </row>
    <row r="25" customFormat="false" ht="15" hidden="false" customHeight="true" outlineLevel="0" collapsed="false">
      <c r="A25" s="8" t="s">
        <v>1566</v>
      </c>
      <c r="B25" s="8" t="s">
        <v>1564</v>
      </c>
      <c r="C25" s="8" t="s">
        <v>1567</v>
      </c>
      <c r="D25" s="8"/>
      <c r="E25" s="8"/>
      <c r="F25" s="8" t="s">
        <v>1512</v>
      </c>
    </row>
    <row r="26" customFormat="false" ht="15" hidden="false" customHeight="true" outlineLevel="0" collapsed="false">
      <c r="A26" s="8" t="s">
        <v>1568</v>
      </c>
      <c r="B26" s="8" t="s">
        <v>1564</v>
      </c>
      <c r="C26" s="8" t="s">
        <v>1569</v>
      </c>
      <c r="D26" s="8" t="s">
        <v>1570</v>
      </c>
      <c r="E26" s="8"/>
      <c r="F26" s="8" t="s">
        <v>1512</v>
      </c>
    </row>
    <row r="27" customFormat="false" ht="15" hidden="false" customHeight="true" outlineLevel="0" collapsed="false">
      <c r="A27" s="8" t="s">
        <v>1571</v>
      </c>
      <c r="B27" s="8" t="s">
        <v>1564</v>
      </c>
      <c r="C27" s="8" t="s">
        <v>1572</v>
      </c>
      <c r="D27" s="8"/>
      <c r="E27" s="8"/>
      <c r="F27" s="8" t="s">
        <v>1512</v>
      </c>
    </row>
    <row r="28" customFormat="false" ht="15" hidden="false" customHeight="true" outlineLevel="0" collapsed="false">
      <c r="A28" s="8" t="s">
        <v>1573</v>
      </c>
      <c r="B28" s="8" t="s">
        <v>541</v>
      </c>
      <c r="C28" s="8" t="s">
        <v>1574</v>
      </c>
      <c r="D28" s="8"/>
      <c r="E28" s="8"/>
      <c r="F28" s="8" t="s">
        <v>1512</v>
      </c>
    </row>
    <row r="29" customFormat="false" ht="15" hidden="false" customHeight="true" outlineLevel="0" collapsed="false">
      <c r="A29" s="8" t="s">
        <v>1575</v>
      </c>
      <c r="B29" s="8" t="s">
        <v>541</v>
      </c>
      <c r="C29" s="8" t="s">
        <v>1576</v>
      </c>
      <c r="D29" s="8"/>
      <c r="E29" s="8"/>
      <c r="F29" s="8" t="s">
        <v>1512</v>
      </c>
    </row>
    <row r="30" customFormat="false" ht="15" hidden="false" customHeight="true" outlineLevel="0" collapsed="false">
      <c r="A30" s="8" t="s">
        <v>1577</v>
      </c>
      <c r="B30" s="8" t="s">
        <v>541</v>
      </c>
      <c r="C30" s="8" t="s">
        <v>1578</v>
      </c>
      <c r="D30" s="8"/>
      <c r="E30" s="8"/>
      <c r="F30" s="8" t="s">
        <v>1512</v>
      </c>
    </row>
    <row r="31" customFormat="false" ht="15" hidden="false" customHeight="true" outlineLevel="0" collapsed="false">
      <c r="A31" s="8" t="s">
        <v>1579</v>
      </c>
      <c r="B31" s="8" t="s">
        <v>541</v>
      </c>
      <c r="C31" s="8" t="s">
        <v>1580</v>
      </c>
      <c r="D31" s="8"/>
      <c r="E31" s="8"/>
      <c r="F31" s="8" t="s">
        <v>1512</v>
      </c>
    </row>
    <row r="32" customFormat="false" ht="15" hidden="false" customHeight="true" outlineLevel="0" collapsed="false">
      <c r="A32" s="8" t="s">
        <v>1581</v>
      </c>
      <c r="B32" s="8" t="s">
        <v>541</v>
      </c>
      <c r="C32" s="8" t="s">
        <v>1582</v>
      </c>
      <c r="D32" s="8"/>
      <c r="E32" s="8"/>
      <c r="F32" s="8" t="s">
        <v>1512</v>
      </c>
    </row>
    <row r="33" customFormat="false" ht="15" hidden="false" customHeight="true" outlineLevel="0" collapsed="false">
      <c r="A33" s="8" t="s">
        <v>1583</v>
      </c>
      <c r="B33" s="8" t="s">
        <v>541</v>
      </c>
      <c r="C33" s="8" t="s">
        <v>1584</v>
      </c>
      <c r="D33" s="8"/>
      <c r="E33" s="8"/>
      <c r="F33" s="8" t="s">
        <v>1512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88"/>
    <col collapsed="false" customWidth="true" hidden="false" outlineLevel="0" max="4" min="4" style="1" width="46"/>
    <col collapsed="false" customWidth="true" hidden="false" outlineLevel="0" max="5" min="5" style="1" width="14"/>
  </cols>
  <sheetData>
    <row r="1" customFormat="false" ht="15" hidden="false" customHeight="true" outlineLevel="0" collapsed="false">
      <c r="A1" s="7" t="s">
        <v>1585</v>
      </c>
      <c r="B1" s="7" t="s">
        <v>265</v>
      </c>
      <c r="C1" s="7" t="s">
        <v>1586</v>
      </c>
      <c r="D1" s="7" t="s">
        <v>267</v>
      </c>
      <c r="E1" s="7" t="s">
        <v>241</v>
      </c>
    </row>
    <row r="2" customFormat="false" ht="23.25" hidden="false" customHeight="true" outlineLevel="0" collapsed="false">
      <c r="A2" s="8" t="s">
        <v>1587</v>
      </c>
      <c r="B2" s="8" t="s">
        <v>1588</v>
      </c>
      <c r="C2" s="8" t="s">
        <v>1589</v>
      </c>
      <c r="D2" s="8" t="s">
        <v>1590</v>
      </c>
      <c r="E2" s="8" t="s">
        <v>1591</v>
      </c>
    </row>
    <row r="3" customFormat="false" ht="15" hidden="false" customHeight="true" outlineLevel="0" collapsed="false">
      <c r="A3" s="8" t="s">
        <v>1592</v>
      </c>
      <c r="B3" s="8" t="s">
        <v>1588</v>
      </c>
      <c r="C3" s="8" t="s">
        <v>1593</v>
      </c>
      <c r="D3" s="8" t="s">
        <v>1594</v>
      </c>
      <c r="E3" s="8" t="s">
        <v>1591</v>
      </c>
    </row>
    <row r="4" customFormat="false" ht="15" hidden="false" customHeight="true" outlineLevel="0" collapsed="false">
      <c r="A4" s="8" t="s">
        <v>1595</v>
      </c>
      <c r="B4" s="8" t="s">
        <v>1588</v>
      </c>
      <c r="C4" s="8" t="s">
        <v>1596</v>
      </c>
      <c r="D4" s="8" t="s">
        <v>1597</v>
      </c>
      <c r="E4" s="8" t="s">
        <v>1591</v>
      </c>
    </row>
    <row r="5" customFormat="false" ht="23.25" hidden="false" customHeight="true" outlineLevel="0" collapsed="false">
      <c r="A5" s="8" t="s">
        <v>1598</v>
      </c>
      <c r="B5" s="8" t="s">
        <v>1588</v>
      </c>
      <c r="C5" s="8" t="s">
        <v>1599</v>
      </c>
      <c r="D5" s="8" t="s">
        <v>1600</v>
      </c>
      <c r="E5" s="8" t="s">
        <v>1591</v>
      </c>
    </row>
    <row r="6" customFormat="false" ht="15" hidden="false" customHeight="true" outlineLevel="0" collapsed="false">
      <c r="A6" s="8" t="s">
        <v>1601</v>
      </c>
      <c r="B6" s="8" t="s">
        <v>1588</v>
      </c>
      <c r="C6" s="8" t="s">
        <v>1602</v>
      </c>
      <c r="D6" s="8" t="s">
        <v>1603</v>
      </c>
      <c r="E6" s="8" t="s">
        <v>910</v>
      </c>
    </row>
    <row r="7" customFormat="false" ht="15" hidden="false" customHeight="true" outlineLevel="0" collapsed="false">
      <c r="A7" s="8" t="s">
        <v>1604</v>
      </c>
      <c r="B7" s="8" t="s">
        <v>1588</v>
      </c>
      <c r="C7" s="8" t="s">
        <v>1605</v>
      </c>
      <c r="D7" s="8"/>
      <c r="E7" s="8" t="s">
        <v>899</v>
      </c>
    </row>
    <row r="8" customFormat="false" ht="15" hidden="false" customHeight="true" outlineLevel="0" collapsed="false">
      <c r="A8" s="8" t="s">
        <v>1606</v>
      </c>
      <c r="B8" s="8" t="s">
        <v>1607</v>
      </c>
      <c r="C8" s="8" t="s">
        <v>1608</v>
      </c>
      <c r="D8" s="8" t="s">
        <v>1609</v>
      </c>
      <c r="E8" s="8" t="s">
        <v>1610</v>
      </c>
    </row>
    <row r="9" customFormat="false" ht="23.25" hidden="false" customHeight="true" outlineLevel="0" collapsed="false">
      <c r="A9" s="8" t="s">
        <v>1611</v>
      </c>
      <c r="B9" s="8" t="s">
        <v>1612</v>
      </c>
      <c r="C9" s="8" t="s">
        <v>1613</v>
      </c>
      <c r="D9" s="8" t="s">
        <v>1614</v>
      </c>
      <c r="E9" s="8" t="s">
        <v>359</v>
      </c>
    </row>
    <row r="10" customFormat="false" ht="15" hidden="false" customHeight="true" outlineLevel="0" collapsed="false">
      <c r="A10" s="8" t="s">
        <v>1615</v>
      </c>
      <c r="B10" s="8" t="s">
        <v>1612</v>
      </c>
      <c r="C10" s="8" t="s">
        <v>1616</v>
      </c>
      <c r="D10" s="8" t="s">
        <v>1617</v>
      </c>
      <c r="E10" s="8" t="s">
        <v>359</v>
      </c>
    </row>
    <row r="11" customFormat="false" ht="15" hidden="false" customHeight="true" outlineLevel="0" collapsed="false">
      <c r="A11" s="8" t="s">
        <v>1618</v>
      </c>
      <c r="B11" s="8" t="s">
        <v>1612</v>
      </c>
      <c r="C11" s="8" t="s">
        <v>1619</v>
      </c>
      <c r="D11" s="8" t="s">
        <v>1620</v>
      </c>
      <c r="E11" s="8" t="s">
        <v>904</v>
      </c>
    </row>
    <row r="12" customFormat="false" ht="23.25" hidden="false" customHeight="true" outlineLevel="0" collapsed="false">
      <c r="A12" s="8" t="s">
        <v>1621</v>
      </c>
      <c r="B12" s="8" t="s">
        <v>1622</v>
      </c>
      <c r="C12" s="8" t="s">
        <v>1623</v>
      </c>
      <c r="D12" s="8" t="s">
        <v>1624</v>
      </c>
      <c r="E12" s="8" t="s">
        <v>1625</v>
      </c>
    </row>
    <row r="13" customFormat="false" ht="15" hidden="false" customHeight="true" outlineLevel="0" collapsed="false">
      <c r="A13" s="8" t="s">
        <v>1626</v>
      </c>
      <c r="B13" s="8" t="s">
        <v>1622</v>
      </c>
      <c r="C13" s="8" t="s">
        <v>1627</v>
      </c>
      <c r="D13" s="8" t="s">
        <v>1628</v>
      </c>
      <c r="E13" s="8" t="s">
        <v>1629</v>
      </c>
    </row>
    <row r="14" customFormat="false" ht="15" hidden="false" customHeight="true" outlineLevel="0" collapsed="false">
      <c r="A14" s="8" t="s">
        <v>1630</v>
      </c>
      <c r="B14" s="8" t="s">
        <v>1631</v>
      </c>
      <c r="C14" s="8" t="s">
        <v>1632</v>
      </c>
      <c r="D14" s="8"/>
      <c r="E14" s="8" t="s">
        <v>904</v>
      </c>
    </row>
    <row r="15" customFormat="false" ht="23.25" hidden="false" customHeight="true" outlineLevel="0" collapsed="false">
      <c r="A15" s="8" t="s">
        <v>1633</v>
      </c>
      <c r="B15" s="8" t="s">
        <v>1631</v>
      </c>
      <c r="C15" s="8" t="s">
        <v>1634</v>
      </c>
      <c r="D15" s="8" t="s">
        <v>1635</v>
      </c>
      <c r="E15" s="8" t="s">
        <v>1629</v>
      </c>
    </row>
    <row r="16" customFormat="false" ht="23.25" hidden="false" customHeight="true" outlineLevel="0" collapsed="false">
      <c r="A16" s="8" t="s">
        <v>1636</v>
      </c>
      <c r="B16" s="8" t="s">
        <v>1631</v>
      </c>
      <c r="C16" s="8" t="s">
        <v>1637</v>
      </c>
      <c r="D16" s="8"/>
      <c r="E16" s="8" t="s">
        <v>1629</v>
      </c>
    </row>
    <row r="17" customFormat="false" ht="15" hidden="false" customHeight="true" outlineLevel="0" collapsed="false">
      <c r="A17" s="8" t="s">
        <v>1638</v>
      </c>
      <c r="B17" s="8" t="s">
        <v>1631</v>
      </c>
      <c r="C17" s="8" t="s">
        <v>1639</v>
      </c>
      <c r="D17" s="8"/>
      <c r="E17" s="8" t="s">
        <v>359</v>
      </c>
    </row>
    <row r="18" customFormat="false" ht="23.25" hidden="false" customHeight="true" outlineLevel="0" collapsed="false">
      <c r="A18" s="8" t="s">
        <v>1640</v>
      </c>
      <c r="B18" s="8" t="s">
        <v>1631</v>
      </c>
      <c r="C18" s="8" t="s">
        <v>1641</v>
      </c>
      <c r="D18" s="8"/>
      <c r="E18" s="8" t="s">
        <v>1629</v>
      </c>
    </row>
    <row r="19" customFormat="false" ht="45.75" hidden="false" customHeight="true" outlineLevel="0" collapsed="false">
      <c r="A19" s="8" t="s">
        <v>1642</v>
      </c>
      <c r="B19" s="8" t="s">
        <v>1643</v>
      </c>
      <c r="C19" s="8" t="s">
        <v>1644</v>
      </c>
      <c r="D19" s="8" t="s">
        <v>1645</v>
      </c>
      <c r="E19" s="8" t="s">
        <v>1646</v>
      </c>
    </row>
    <row r="20" customFormat="false" ht="23.25" hidden="false" customHeight="true" outlineLevel="0" collapsed="false">
      <c r="A20" s="8" t="s">
        <v>1647</v>
      </c>
      <c r="B20" s="8" t="s">
        <v>1643</v>
      </c>
      <c r="C20" s="8" t="s">
        <v>1648</v>
      </c>
      <c r="D20" s="8" t="s">
        <v>1649</v>
      </c>
      <c r="E20" s="8" t="s">
        <v>375</v>
      </c>
    </row>
    <row r="21" customFormat="false" ht="23.25" hidden="false" customHeight="true" outlineLevel="0" collapsed="false">
      <c r="A21" s="8" t="s">
        <v>1650</v>
      </c>
      <c r="B21" s="8" t="s">
        <v>1588</v>
      </c>
      <c r="C21" s="8" t="s">
        <v>1651</v>
      </c>
      <c r="D21" s="8" t="s">
        <v>1652</v>
      </c>
      <c r="E21" s="8" t="s">
        <v>1653</v>
      </c>
    </row>
    <row r="22" customFormat="false" ht="45.75" hidden="false" customHeight="true" outlineLevel="0" collapsed="false">
      <c r="A22" s="8" t="s">
        <v>1654</v>
      </c>
      <c r="B22" s="8" t="s">
        <v>1588</v>
      </c>
      <c r="C22" s="8" t="s">
        <v>1655</v>
      </c>
      <c r="D22" s="8" t="s">
        <v>1656</v>
      </c>
      <c r="E22" s="8" t="s">
        <v>1653</v>
      </c>
    </row>
    <row r="23" customFormat="false" ht="45.75" hidden="false" customHeight="true" outlineLevel="0" collapsed="false">
      <c r="A23" s="8" t="s">
        <v>1657</v>
      </c>
      <c r="B23" s="8" t="s">
        <v>1588</v>
      </c>
      <c r="C23" s="8" t="s">
        <v>1658</v>
      </c>
      <c r="D23" s="8" t="s">
        <v>1659</v>
      </c>
      <c r="E23" s="8" t="s">
        <v>1660</v>
      </c>
    </row>
    <row r="24" customFormat="false" ht="45.75" hidden="false" customHeight="true" outlineLevel="0" collapsed="false">
      <c r="A24" s="8" t="s">
        <v>1661</v>
      </c>
      <c r="B24" s="8" t="s">
        <v>1588</v>
      </c>
      <c r="C24" s="8" t="s">
        <v>1662</v>
      </c>
      <c r="D24" s="8" t="s">
        <v>1663</v>
      </c>
      <c r="E24" s="8" t="s">
        <v>1653</v>
      </c>
    </row>
    <row r="25" customFormat="false" ht="45.75" hidden="false" customHeight="true" outlineLevel="0" collapsed="false">
      <c r="A25" s="8" t="s">
        <v>1664</v>
      </c>
      <c r="B25" s="8" t="s">
        <v>1588</v>
      </c>
      <c r="C25" s="8" t="s">
        <v>1665</v>
      </c>
      <c r="D25" s="8" t="s">
        <v>1666</v>
      </c>
      <c r="E25" s="8" t="s">
        <v>1667</v>
      </c>
    </row>
    <row r="26" customFormat="false" ht="34.5" hidden="false" customHeight="true" outlineLevel="0" collapsed="false">
      <c r="A26" s="8" t="s">
        <v>1668</v>
      </c>
      <c r="B26" s="8" t="s">
        <v>1588</v>
      </c>
      <c r="C26" s="8" t="s">
        <v>1669</v>
      </c>
      <c r="D26" s="8" t="s">
        <v>1670</v>
      </c>
      <c r="E26" s="8" t="s">
        <v>1671</v>
      </c>
    </row>
    <row r="27" customFormat="false" ht="45.75" hidden="false" customHeight="true" outlineLevel="0" collapsed="false">
      <c r="A27" s="8" t="s">
        <v>1672</v>
      </c>
      <c r="B27" s="8" t="s">
        <v>1631</v>
      </c>
      <c r="C27" s="8" t="s">
        <v>1673</v>
      </c>
      <c r="D27" s="8" t="s">
        <v>1674</v>
      </c>
      <c r="E27" s="8" t="s">
        <v>1675</v>
      </c>
    </row>
    <row r="28" customFormat="false" ht="45.75" hidden="false" customHeight="true" outlineLevel="0" collapsed="false">
      <c r="A28" s="8" t="s">
        <v>1676</v>
      </c>
      <c r="B28" s="8" t="s">
        <v>1631</v>
      </c>
      <c r="C28" s="8" t="s">
        <v>1677</v>
      </c>
      <c r="D28" s="8" t="s">
        <v>1678</v>
      </c>
      <c r="E28" s="8" t="s">
        <v>1679</v>
      </c>
    </row>
    <row r="29" customFormat="false" ht="34.5" hidden="false" customHeight="true" outlineLevel="0" collapsed="false">
      <c r="A29" s="8" t="s">
        <v>1680</v>
      </c>
      <c r="B29" s="8" t="s">
        <v>1681</v>
      </c>
      <c r="C29" s="8" t="s">
        <v>1682</v>
      </c>
      <c r="D29" s="8" t="s">
        <v>1683</v>
      </c>
      <c r="E29" s="8" t="s">
        <v>1684</v>
      </c>
    </row>
    <row r="30" customFormat="false" ht="23.25" hidden="false" customHeight="true" outlineLevel="0" collapsed="false">
      <c r="A30" s="8" t="s">
        <v>1685</v>
      </c>
      <c r="B30" s="8" t="s">
        <v>1686</v>
      </c>
      <c r="C30" s="8" t="s">
        <v>1687</v>
      </c>
      <c r="D30" s="8" t="s">
        <v>1688</v>
      </c>
      <c r="E30" s="8" t="s">
        <v>1689</v>
      </c>
    </row>
    <row r="31" customFormat="false" ht="34.5" hidden="false" customHeight="true" outlineLevel="0" collapsed="false">
      <c r="A31" s="8" t="s">
        <v>1690</v>
      </c>
      <c r="B31" s="8" t="s">
        <v>1686</v>
      </c>
      <c r="C31" s="8" t="s">
        <v>1691</v>
      </c>
      <c r="D31" s="8" t="s">
        <v>1692</v>
      </c>
      <c r="E31" s="8" t="s">
        <v>1693</v>
      </c>
    </row>
    <row r="32" customFormat="false" ht="68.25" hidden="false" customHeight="true" outlineLevel="0" collapsed="false">
      <c r="A32" s="8" t="s">
        <v>1694</v>
      </c>
      <c r="B32" s="8" t="s">
        <v>1695</v>
      </c>
      <c r="C32" s="8" t="s">
        <v>1696</v>
      </c>
      <c r="D32" s="8" t="s">
        <v>1697</v>
      </c>
      <c r="E32" s="8" t="s">
        <v>1698</v>
      </c>
    </row>
    <row r="33" customFormat="false" ht="45.75" hidden="false" customHeight="true" outlineLevel="0" collapsed="false">
      <c r="A33" s="8" t="s">
        <v>1699</v>
      </c>
      <c r="B33" s="8" t="s">
        <v>1695</v>
      </c>
      <c r="C33" s="8" t="s">
        <v>1700</v>
      </c>
      <c r="D33" s="8" t="s">
        <v>1701</v>
      </c>
      <c r="E33" s="8" t="s">
        <v>1702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90"/>
    <col collapsed="false" customWidth="true" hidden="false" outlineLevel="0" max="3" min="3" style="1" width="12"/>
    <col collapsed="false" customWidth="true" hidden="false" outlineLevel="0" max="4" min="4" style="1" width="46"/>
  </cols>
  <sheetData>
    <row r="1" customFormat="false" ht="15" hidden="false" customHeight="true" outlineLevel="0" collapsed="false">
      <c r="A1" s="7" t="s">
        <v>94</v>
      </c>
      <c r="B1" s="7" t="s">
        <v>933</v>
      </c>
      <c r="C1" s="7" t="s">
        <v>241</v>
      </c>
      <c r="D1" s="7" t="s">
        <v>367</v>
      </c>
    </row>
    <row r="2" customFormat="false" ht="23.25" hidden="false" customHeight="true" outlineLevel="0" collapsed="false">
      <c r="A2" s="8" t="s">
        <v>1703</v>
      </c>
      <c r="B2" s="8" t="s">
        <v>1704</v>
      </c>
      <c r="C2" s="8" t="s">
        <v>359</v>
      </c>
      <c r="D2" s="8" t="s">
        <v>1705</v>
      </c>
    </row>
    <row r="3" customFormat="false" ht="23.25" hidden="false" customHeight="true" outlineLevel="0" collapsed="false">
      <c r="A3" s="8" t="s">
        <v>1706</v>
      </c>
      <c r="B3" s="8" t="s">
        <v>1707</v>
      </c>
      <c r="C3" s="8" t="s">
        <v>359</v>
      </c>
      <c r="D3" s="8" t="s">
        <v>1708</v>
      </c>
    </row>
    <row r="4" customFormat="false" ht="15" hidden="false" customHeight="true" outlineLevel="0" collapsed="false">
      <c r="A4" s="8" t="s">
        <v>1709</v>
      </c>
      <c r="B4" s="8" t="s">
        <v>1710</v>
      </c>
      <c r="C4" s="8" t="s">
        <v>359</v>
      </c>
      <c r="D4" s="8"/>
    </row>
    <row r="5" customFormat="false" ht="15" hidden="false" customHeight="true" outlineLevel="0" collapsed="false">
      <c r="A5" s="8" t="s">
        <v>1711</v>
      </c>
      <c r="B5" s="8" t="s">
        <v>1712</v>
      </c>
      <c r="C5" s="8" t="s">
        <v>993</v>
      </c>
      <c r="D5" s="8"/>
    </row>
    <row r="6" customFormat="false" ht="15" hidden="false" customHeight="true" outlineLevel="0" collapsed="false">
      <c r="A6" s="8" t="s">
        <v>1713</v>
      </c>
      <c r="B6" s="8" t="s">
        <v>1714</v>
      </c>
      <c r="C6" s="8" t="s">
        <v>952</v>
      </c>
      <c r="D6" s="8"/>
    </row>
    <row r="7" customFormat="false" ht="15" hidden="false" customHeight="true" outlineLevel="0" collapsed="false">
      <c r="A7" s="8" t="s">
        <v>1715</v>
      </c>
      <c r="B7" s="8" t="s">
        <v>1716</v>
      </c>
      <c r="C7" s="8" t="s">
        <v>952</v>
      </c>
      <c r="D7" s="8"/>
    </row>
    <row r="8" customFormat="false" ht="15" hidden="false" customHeight="true" outlineLevel="0" collapsed="false">
      <c r="A8" s="8" t="s">
        <v>1717</v>
      </c>
      <c r="B8" s="8" t="s">
        <v>1718</v>
      </c>
      <c r="C8" s="8" t="s">
        <v>312</v>
      </c>
      <c r="D8" s="8"/>
    </row>
    <row r="9" customFormat="false" ht="23.25" hidden="false" customHeight="true" outlineLevel="0" collapsed="false">
      <c r="A9" s="8" t="s">
        <v>1719</v>
      </c>
      <c r="B9" s="8" t="s">
        <v>1720</v>
      </c>
      <c r="C9" s="8" t="s">
        <v>359</v>
      </c>
      <c r="D9" s="8" t="s">
        <v>1721</v>
      </c>
    </row>
    <row r="10" customFormat="false" ht="23.25" hidden="false" customHeight="true" outlineLevel="0" collapsed="false">
      <c r="A10" s="8" t="s">
        <v>1722</v>
      </c>
      <c r="B10" s="8" t="s">
        <v>1723</v>
      </c>
      <c r="C10" s="8" t="s">
        <v>312</v>
      </c>
      <c r="D10" s="8" t="s">
        <v>1724</v>
      </c>
    </row>
    <row r="11" customFormat="false" ht="23.25" hidden="false" customHeight="true" outlineLevel="0" collapsed="false">
      <c r="A11" s="8" t="s">
        <v>1725</v>
      </c>
      <c r="B11" s="8" t="s">
        <v>1726</v>
      </c>
      <c r="C11" s="8" t="s">
        <v>952</v>
      </c>
      <c r="D11" s="8" t="s">
        <v>1727</v>
      </c>
    </row>
    <row r="12" customFormat="false" ht="23.25" hidden="false" customHeight="true" outlineLevel="0" collapsed="false">
      <c r="A12" s="8" t="s">
        <v>1728</v>
      </c>
      <c r="B12" s="8" t="s">
        <v>1729</v>
      </c>
      <c r="C12" s="8" t="s">
        <v>952</v>
      </c>
      <c r="D12"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20"/>
    <col collapsed="false" customWidth="true" hidden="false" outlineLevel="0" max="4" min="4" style="1" width="34"/>
    <col collapsed="false" customWidth="true" hidden="false" outlineLevel="0" max="5" min="5" style="1" width="46"/>
    <col collapsed="false" customWidth="true" hidden="false" outlineLevel="0" max="6" min="6" style="1" width="40"/>
    <col collapsed="false" customWidth="true" hidden="false" outlineLevel="0" max="7" min="7" style="1" width="30"/>
    <col collapsed="false" customWidth="true" hidden="false" outlineLevel="0" max="8" min="8" style="1" width="18"/>
    <col collapsed="false" customWidth="true" hidden="false" outlineLevel="0" max="9" min="9" style="1" width="60"/>
  </cols>
  <sheetData>
    <row r="1" customFormat="false" ht="15" hidden="false" customHeight="true" outlineLevel="0" collapsed="false">
      <c r="A1" s="7" t="s">
        <v>360</v>
      </c>
      <c r="B1" s="7" t="s">
        <v>361</v>
      </c>
      <c r="C1" s="7" t="s">
        <v>1730</v>
      </c>
      <c r="D1" s="7" t="s">
        <v>1731</v>
      </c>
      <c r="E1" s="7" t="s">
        <v>1732</v>
      </c>
      <c r="F1" s="7" t="s">
        <v>1733</v>
      </c>
      <c r="G1" s="7" t="s">
        <v>1734</v>
      </c>
      <c r="H1" s="7" t="s">
        <v>241</v>
      </c>
      <c r="I1" s="7" t="s">
        <v>367</v>
      </c>
    </row>
    <row r="2" customFormat="false" ht="34.5" hidden="false" customHeight="true" outlineLevel="0" collapsed="false">
      <c r="A2" s="9" t="s">
        <v>368</v>
      </c>
      <c r="B2" s="9" t="s">
        <v>369</v>
      </c>
      <c r="C2" s="9" t="s">
        <v>1735</v>
      </c>
      <c r="D2" s="9" t="s">
        <v>1736</v>
      </c>
      <c r="E2" s="9" t="s">
        <v>1737</v>
      </c>
      <c r="F2" s="9" t="s">
        <v>1738</v>
      </c>
      <c r="G2" s="9" t="s">
        <v>1739</v>
      </c>
      <c r="H2" s="9" t="s">
        <v>1740</v>
      </c>
      <c r="I2" s="9" t="s">
        <v>1741</v>
      </c>
    </row>
    <row r="3" customFormat="false" ht="34.5" hidden="false" customHeight="true" outlineLevel="0" collapsed="false">
      <c r="A3" s="9" t="s">
        <v>368</v>
      </c>
      <c r="B3" s="9" t="s">
        <v>369</v>
      </c>
      <c r="C3" s="9" t="s">
        <v>1742</v>
      </c>
      <c r="D3" s="9" t="s">
        <v>1743</v>
      </c>
      <c r="E3" s="9" t="s">
        <v>1737</v>
      </c>
      <c r="F3" s="9" t="s">
        <v>1744</v>
      </c>
      <c r="G3" s="9" t="s">
        <v>1739</v>
      </c>
      <c r="H3" s="9" t="s">
        <v>1740</v>
      </c>
      <c r="I3" s="9" t="s">
        <v>1745</v>
      </c>
    </row>
    <row r="4" customFormat="false" ht="23.25" hidden="false" customHeight="true" outlineLevel="0" collapsed="false">
      <c r="A4" s="8" t="s">
        <v>1746</v>
      </c>
      <c r="B4" s="8" t="s">
        <v>393</v>
      </c>
      <c r="C4" s="8" t="s">
        <v>1742</v>
      </c>
      <c r="D4" s="8" t="s">
        <v>1747</v>
      </c>
      <c r="E4" s="8" t="s">
        <v>1748</v>
      </c>
      <c r="F4" s="8" t="s">
        <v>1749</v>
      </c>
      <c r="G4" s="8" t="s">
        <v>1750</v>
      </c>
      <c r="H4" s="8" t="s">
        <v>1751</v>
      </c>
      <c r="I4" s="8" t="s">
        <v>1752</v>
      </c>
    </row>
    <row r="5" customFormat="false" ht="15" hidden="false" customHeight="true" outlineLevel="0" collapsed="false">
      <c r="A5" s="8" t="s">
        <v>1746</v>
      </c>
      <c r="B5" s="8" t="s">
        <v>393</v>
      </c>
      <c r="C5" s="8" t="s">
        <v>1735</v>
      </c>
      <c r="D5" s="8" t="s">
        <v>1753</v>
      </c>
      <c r="E5" s="8" t="s">
        <v>1748</v>
      </c>
      <c r="F5" s="8" t="s">
        <v>1749</v>
      </c>
      <c r="G5" s="8" t="s">
        <v>1750</v>
      </c>
      <c r="H5" s="8" t="s">
        <v>1751</v>
      </c>
      <c r="I5" s="8"/>
    </row>
    <row r="6" customFormat="false" ht="23.25" hidden="false" customHeight="true" outlineLevel="0" collapsed="false">
      <c r="A6" s="8" t="s">
        <v>1754</v>
      </c>
      <c r="B6" s="8" t="s">
        <v>393</v>
      </c>
      <c r="C6" s="8" t="s">
        <v>1755</v>
      </c>
      <c r="D6" s="8" t="s">
        <v>1756</v>
      </c>
      <c r="E6" s="8" t="s">
        <v>1757</v>
      </c>
      <c r="F6" s="8" t="s">
        <v>1749</v>
      </c>
      <c r="G6" s="8" t="s">
        <v>1750</v>
      </c>
      <c r="H6" s="8" t="s">
        <v>1758</v>
      </c>
      <c r="I6" s="8" t="s">
        <v>1759</v>
      </c>
    </row>
    <row r="7" customFormat="false" ht="23.25" hidden="false" customHeight="true" outlineLevel="0" collapsed="false">
      <c r="A7" s="8" t="s">
        <v>406</v>
      </c>
      <c r="B7" s="8" t="s">
        <v>393</v>
      </c>
      <c r="C7" s="8" t="s">
        <v>1735</v>
      </c>
      <c r="D7" s="8" t="s">
        <v>1760</v>
      </c>
      <c r="E7" s="8" t="s">
        <v>1761</v>
      </c>
      <c r="F7" s="8" t="s">
        <v>1749</v>
      </c>
      <c r="G7" s="8" t="s">
        <v>1762</v>
      </c>
      <c r="H7" s="8" t="s">
        <v>1763</v>
      </c>
      <c r="I7" s="8" t="s">
        <v>1764</v>
      </c>
    </row>
    <row r="8" customFormat="false" ht="23.25" hidden="false" customHeight="true" outlineLevel="0" collapsed="false">
      <c r="A8" s="8" t="s">
        <v>406</v>
      </c>
      <c r="B8" s="8" t="s">
        <v>393</v>
      </c>
      <c r="C8" s="8" t="s">
        <v>1742</v>
      </c>
      <c r="D8" s="8" t="s">
        <v>1765</v>
      </c>
      <c r="E8" s="8" t="s">
        <v>1761</v>
      </c>
      <c r="F8" s="8" t="s">
        <v>1749</v>
      </c>
      <c r="G8" s="8" t="s">
        <v>1762</v>
      </c>
      <c r="H8" s="8" t="s">
        <v>1763</v>
      </c>
      <c r="I8" s="8" t="s">
        <v>1766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50"/>
    <col collapsed="false" customWidth="true" hidden="false" outlineLevel="0" max="4" min="4" style="1" width="60"/>
    <col collapsed="false" customWidth="true" hidden="false" outlineLevel="0" max="5" min="5" style="1" width="22"/>
  </cols>
  <sheetData>
    <row r="1" customFormat="false" ht="23.25" hidden="false" customHeight="true" outlineLevel="0" collapsed="false">
      <c r="A1" s="7" t="s">
        <v>360</v>
      </c>
      <c r="B1" s="7" t="s">
        <v>361</v>
      </c>
      <c r="C1" s="7" t="s">
        <v>1767</v>
      </c>
      <c r="D1" s="7" t="s">
        <v>625</v>
      </c>
      <c r="E1" s="7" t="s">
        <v>241</v>
      </c>
    </row>
    <row r="2" customFormat="false" ht="34.5" hidden="false" customHeight="true" outlineLevel="0" collapsed="false">
      <c r="A2" s="9" t="s">
        <v>368</v>
      </c>
      <c r="B2" s="9" t="s">
        <v>369</v>
      </c>
      <c r="C2" s="9" t="s">
        <v>1768</v>
      </c>
      <c r="D2" s="9" t="s">
        <v>1769</v>
      </c>
      <c r="E2" s="9" t="s">
        <v>1770</v>
      </c>
    </row>
    <row r="3" customFormat="false" ht="15" hidden="false" customHeight="true" outlineLevel="0" collapsed="false">
      <c r="A3" s="8" t="s">
        <v>385</v>
      </c>
      <c r="B3" s="8" t="s">
        <v>393</v>
      </c>
      <c r="C3" s="8" t="s">
        <v>1771</v>
      </c>
      <c r="D3" s="8" t="s">
        <v>1772</v>
      </c>
      <c r="E3" s="8" t="s">
        <v>1773</v>
      </c>
    </row>
    <row r="4" customFormat="false" ht="23.25" hidden="false" customHeight="true" outlineLevel="0" collapsed="false">
      <c r="A4" s="8" t="s">
        <v>406</v>
      </c>
      <c r="B4" s="8" t="s">
        <v>393</v>
      </c>
      <c r="C4" s="8" t="s">
        <v>1774</v>
      </c>
      <c r="D4" s="8" t="s">
        <v>1775</v>
      </c>
      <c r="E4" s="8" t="s">
        <v>1776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0"/>
    <col collapsed="false" customWidth="true" hidden="false" outlineLevel="0" max="3" min="3" style="1" width="11"/>
    <col collapsed="false" customWidth="true" hidden="false" outlineLevel="0" max="4" min="4" style="1" width="64"/>
    <col collapsed="false" customWidth="true" hidden="false" outlineLevel="0" max="5" min="5" style="1" width="44"/>
    <col collapsed="false" customWidth="true" hidden="false" outlineLevel="0" max="6" min="6" style="1" width="46"/>
    <col collapsed="false" customWidth="true" hidden="false" outlineLevel="0" max="7" min="7" style="1" width="22"/>
  </cols>
  <sheetData>
    <row r="1" customFormat="false" ht="15" hidden="false" customHeight="true" outlineLevel="0" collapsed="false">
      <c r="A1" s="7" t="s">
        <v>427</v>
      </c>
      <c r="B1" s="7" t="s">
        <v>1777</v>
      </c>
      <c r="C1" s="7" t="s">
        <v>651</v>
      </c>
      <c r="D1" s="7" t="s">
        <v>1778</v>
      </c>
      <c r="E1" s="7" t="s">
        <v>1779</v>
      </c>
      <c r="F1" s="7" t="s">
        <v>1506</v>
      </c>
      <c r="G1" s="7" t="s">
        <v>241</v>
      </c>
    </row>
    <row r="2" customFormat="false" ht="15" hidden="false" customHeight="true" outlineLevel="0" collapsed="false">
      <c r="A2" s="8" t="s">
        <v>255</v>
      </c>
      <c r="B2" s="8" t="n">
        <v>1</v>
      </c>
      <c r="C2" s="8" t="s">
        <v>658</v>
      </c>
      <c r="D2" s="8" t="s">
        <v>1780</v>
      </c>
      <c r="E2" s="8" t="s">
        <v>393</v>
      </c>
      <c r="F2" s="8" t="s">
        <v>1781</v>
      </c>
      <c r="G2" s="8" t="s">
        <v>1782</v>
      </c>
    </row>
    <row r="3" customFormat="false" ht="15" hidden="false" customHeight="true" outlineLevel="0" collapsed="false">
      <c r="A3" s="8" t="s">
        <v>255</v>
      </c>
      <c r="B3" s="8" t="n">
        <v>2</v>
      </c>
      <c r="C3" s="8" t="s">
        <v>654</v>
      </c>
      <c r="D3" s="8" t="s">
        <v>1783</v>
      </c>
      <c r="E3" s="8" t="s">
        <v>393</v>
      </c>
      <c r="F3" s="8" t="s">
        <v>1784</v>
      </c>
      <c r="G3" s="8" t="s">
        <v>1785</v>
      </c>
    </row>
    <row r="4" customFormat="false" ht="23.25" hidden="false" customHeight="true" outlineLevel="0" collapsed="false">
      <c r="A4" s="8" t="s">
        <v>255</v>
      </c>
      <c r="B4" s="8" t="n">
        <v>3</v>
      </c>
      <c r="C4" s="8" t="s">
        <v>664</v>
      </c>
      <c r="D4" s="8" t="s">
        <v>1786</v>
      </c>
      <c r="E4" s="8" t="s">
        <v>1787</v>
      </c>
      <c r="F4" s="8" t="s">
        <v>1788</v>
      </c>
      <c r="G4" s="8" t="s">
        <v>1789</v>
      </c>
    </row>
    <row r="5" customFormat="false" ht="15" hidden="false" customHeight="true" outlineLevel="0" collapsed="false">
      <c r="A5" s="8" t="s">
        <v>255</v>
      </c>
      <c r="B5" s="8" t="n">
        <v>4</v>
      </c>
      <c r="C5" s="8" t="s">
        <v>661</v>
      </c>
      <c r="D5" s="8" t="s">
        <v>1790</v>
      </c>
      <c r="E5" s="8" t="s">
        <v>393</v>
      </c>
      <c r="F5" s="8" t="s">
        <v>1781</v>
      </c>
      <c r="G5" s="8" t="s">
        <v>1785</v>
      </c>
    </row>
    <row r="6" customFormat="false" ht="23.25" hidden="false" customHeight="true" outlineLevel="0" collapsed="false">
      <c r="A6" s="8" t="s">
        <v>255</v>
      </c>
      <c r="B6" s="8" t="n">
        <v>5</v>
      </c>
      <c r="C6" s="8" t="s">
        <v>669</v>
      </c>
      <c r="D6" s="8" t="s">
        <v>1791</v>
      </c>
      <c r="E6" s="8" t="s">
        <v>393</v>
      </c>
      <c r="F6" s="8" t="s">
        <v>1792</v>
      </c>
      <c r="G6" s="8" t="s">
        <v>1793</v>
      </c>
    </row>
    <row r="7" customFormat="false" ht="15" hidden="false" customHeight="true" outlineLevel="0" collapsed="false">
      <c r="A7" s="8" t="s">
        <v>255</v>
      </c>
      <c r="B7" s="8" t="n">
        <v>6</v>
      </c>
      <c r="C7" s="8" t="s">
        <v>673</v>
      </c>
      <c r="D7" s="8" t="s">
        <v>1794</v>
      </c>
      <c r="E7" s="8" t="s">
        <v>393</v>
      </c>
      <c r="F7" s="8" t="s">
        <v>1781</v>
      </c>
      <c r="G7" s="8" t="s">
        <v>1795</v>
      </c>
    </row>
    <row r="8" customFormat="false" ht="15" hidden="false" customHeight="true" outlineLevel="0" collapsed="false">
      <c r="A8" s="8" t="s">
        <v>255</v>
      </c>
      <c r="B8" s="8" t="n">
        <v>7</v>
      </c>
      <c r="C8" s="8" t="s">
        <v>683</v>
      </c>
      <c r="D8" s="8" t="s">
        <v>1796</v>
      </c>
      <c r="E8" s="8" t="s">
        <v>393</v>
      </c>
      <c r="F8" s="8" t="s">
        <v>1797</v>
      </c>
      <c r="G8" s="8" t="s">
        <v>1798</v>
      </c>
    </row>
    <row r="9" customFormat="false" ht="15" hidden="false" customHeight="true" outlineLevel="0" collapsed="false">
      <c r="A9" s="8" t="s">
        <v>255</v>
      </c>
      <c r="B9" s="8" t="n">
        <v>8</v>
      </c>
      <c r="C9" s="8" t="s">
        <v>664</v>
      </c>
      <c r="D9" s="8" t="s">
        <v>1799</v>
      </c>
      <c r="E9" s="8" t="s">
        <v>1800</v>
      </c>
      <c r="F9" s="8" t="s">
        <v>1801</v>
      </c>
      <c r="G9" s="8" t="s">
        <v>1802</v>
      </c>
    </row>
    <row r="10" customFormat="false" ht="23.25" hidden="false" customHeight="true" outlineLevel="0" collapsed="false">
      <c r="A10" s="8" t="s">
        <v>255</v>
      </c>
      <c r="B10" s="8" t="n">
        <v>9</v>
      </c>
      <c r="C10" s="8" t="s">
        <v>680</v>
      </c>
      <c r="D10" s="8" t="s">
        <v>1803</v>
      </c>
      <c r="E10" s="8" t="s">
        <v>1800</v>
      </c>
      <c r="F10" s="8" t="s">
        <v>1804</v>
      </c>
      <c r="G10" s="8" t="s">
        <v>1795</v>
      </c>
    </row>
    <row r="11" customFormat="false" ht="15" hidden="false" customHeight="true" outlineLevel="0" collapsed="false">
      <c r="A11" s="8" t="s">
        <v>260</v>
      </c>
      <c r="B11" s="8" t="n">
        <v>1</v>
      </c>
      <c r="C11" s="8" t="s">
        <v>658</v>
      </c>
      <c r="D11" s="8" t="s">
        <v>1780</v>
      </c>
      <c r="E11" s="8" t="s">
        <v>393</v>
      </c>
      <c r="F11" s="8" t="s">
        <v>1781</v>
      </c>
      <c r="G11" s="8" t="s">
        <v>1782</v>
      </c>
    </row>
    <row r="12" customFormat="false" ht="15" hidden="false" customHeight="true" outlineLevel="0" collapsed="false">
      <c r="A12" s="8" t="s">
        <v>260</v>
      </c>
      <c r="B12" s="8" t="n">
        <v>2</v>
      </c>
      <c r="C12" s="8" t="s">
        <v>654</v>
      </c>
      <c r="D12" s="8" t="s">
        <v>1805</v>
      </c>
      <c r="E12" s="8" t="s">
        <v>393</v>
      </c>
      <c r="F12" s="8" t="s">
        <v>1784</v>
      </c>
      <c r="G12" s="8" t="s">
        <v>1785</v>
      </c>
    </row>
    <row r="13" customFormat="false" ht="15" hidden="false" customHeight="true" outlineLevel="0" collapsed="false">
      <c r="A13" s="8" t="s">
        <v>260</v>
      </c>
      <c r="B13" s="8" t="n">
        <v>3</v>
      </c>
      <c r="C13" s="8" t="s">
        <v>664</v>
      </c>
      <c r="D13" s="8" t="s">
        <v>1806</v>
      </c>
      <c r="E13" s="8" t="s">
        <v>1787</v>
      </c>
      <c r="F13" s="8" t="s">
        <v>1781</v>
      </c>
      <c r="G13" s="8" t="s">
        <v>1789</v>
      </c>
    </row>
    <row r="14" customFormat="false" ht="15" hidden="false" customHeight="true" outlineLevel="0" collapsed="false">
      <c r="A14" s="8" t="s">
        <v>260</v>
      </c>
      <c r="B14" s="8" t="n">
        <v>4</v>
      </c>
      <c r="C14" s="8" t="s">
        <v>661</v>
      </c>
      <c r="D14" s="8" t="s">
        <v>1043</v>
      </c>
      <c r="E14" s="8" t="s">
        <v>393</v>
      </c>
      <c r="F14" s="8" t="s">
        <v>1781</v>
      </c>
      <c r="G14" s="8" t="s">
        <v>1785</v>
      </c>
    </row>
    <row r="15" customFormat="false" ht="15" hidden="false" customHeight="true" outlineLevel="0" collapsed="false">
      <c r="A15" s="8" t="s">
        <v>260</v>
      </c>
      <c r="B15" s="8" t="n">
        <v>5</v>
      </c>
      <c r="C15" s="8" t="s">
        <v>669</v>
      </c>
      <c r="D15" s="8" t="s">
        <v>1807</v>
      </c>
      <c r="E15" s="8" t="s">
        <v>393</v>
      </c>
      <c r="F15" s="8" t="s">
        <v>1781</v>
      </c>
      <c r="G15" s="8" t="s">
        <v>1785</v>
      </c>
    </row>
    <row r="16" customFormat="false" ht="15" hidden="false" customHeight="true" outlineLevel="0" collapsed="false">
      <c r="A16" s="8" t="s">
        <v>260</v>
      </c>
      <c r="B16" s="8" t="n">
        <v>6</v>
      </c>
      <c r="C16" s="8" t="s">
        <v>673</v>
      </c>
      <c r="D16" s="8" t="s">
        <v>328</v>
      </c>
      <c r="E16" s="8" t="s">
        <v>393</v>
      </c>
      <c r="F16" s="8" t="s">
        <v>1781</v>
      </c>
      <c r="G16" s="8" t="s">
        <v>1795</v>
      </c>
    </row>
    <row r="17" customFormat="false" ht="15" hidden="false" customHeight="true" outlineLevel="0" collapsed="false">
      <c r="A17" s="8" t="s">
        <v>260</v>
      </c>
      <c r="B17" s="8" t="n">
        <v>7</v>
      </c>
      <c r="C17" s="8" t="s">
        <v>691</v>
      </c>
      <c r="D17" s="8" t="s">
        <v>1808</v>
      </c>
      <c r="E17" s="8" t="s">
        <v>1809</v>
      </c>
      <c r="F17" s="8" t="s">
        <v>1810</v>
      </c>
      <c r="G17" s="8" t="s">
        <v>1811</v>
      </c>
    </row>
    <row r="18" customFormat="false" ht="23.25" hidden="false" customHeight="true" outlineLevel="0" collapsed="false">
      <c r="A18" s="8" t="s">
        <v>260</v>
      </c>
      <c r="B18" s="8" t="n">
        <v>8</v>
      </c>
      <c r="C18" s="8" t="s">
        <v>664</v>
      </c>
      <c r="D18" s="8" t="s">
        <v>1812</v>
      </c>
      <c r="E18" s="8" t="s">
        <v>1800</v>
      </c>
      <c r="F18" s="8" t="s">
        <v>1813</v>
      </c>
      <c r="G18" s="8" t="s">
        <v>1802</v>
      </c>
    </row>
    <row r="19" customFormat="false" ht="15" hidden="false" customHeight="true" outlineLevel="0" collapsed="false">
      <c r="A19" s="8" t="s">
        <v>260</v>
      </c>
      <c r="B19" s="8" t="n">
        <v>9</v>
      </c>
      <c r="C19" s="8" t="s">
        <v>680</v>
      </c>
      <c r="D19" s="8" t="s">
        <v>1814</v>
      </c>
      <c r="E19" s="8" t="s">
        <v>1800</v>
      </c>
      <c r="F19" s="8" t="s">
        <v>1815</v>
      </c>
      <c r="G19" s="8" t="s">
        <v>1795</v>
      </c>
    </row>
    <row r="20" customFormat="false" ht="15" hidden="false" customHeight="true" outlineLevel="0" collapsed="false">
      <c r="A20" s="8" t="s">
        <v>263</v>
      </c>
      <c r="B20" s="8" t="n">
        <v>1</v>
      </c>
      <c r="C20" s="8" t="s">
        <v>658</v>
      </c>
      <c r="D20" s="8" t="s">
        <v>1816</v>
      </c>
      <c r="E20" s="8" t="s">
        <v>393</v>
      </c>
      <c r="F20" s="8" t="s">
        <v>1781</v>
      </c>
      <c r="G20" s="8" t="s">
        <v>1817</v>
      </c>
    </row>
    <row r="21" customFormat="false" ht="23.25" hidden="false" customHeight="true" outlineLevel="0" collapsed="false">
      <c r="A21" s="8" t="s">
        <v>263</v>
      </c>
      <c r="B21" s="8" t="n">
        <v>2</v>
      </c>
      <c r="C21" s="8" t="s">
        <v>664</v>
      </c>
      <c r="D21" s="8" t="s">
        <v>1818</v>
      </c>
      <c r="E21" s="8" t="s">
        <v>1819</v>
      </c>
      <c r="F21" s="8" t="s">
        <v>1820</v>
      </c>
      <c r="G21" s="8" t="s">
        <v>1821</v>
      </c>
    </row>
    <row r="22" customFormat="false" ht="15" hidden="false" customHeight="true" outlineLevel="0" collapsed="false">
      <c r="A22" s="8" t="s">
        <v>263</v>
      </c>
      <c r="B22" s="8" t="n">
        <v>3</v>
      </c>
      <c r="C22" s="8" t="s">
        <v>661</v>
      </c>
      <c r="D22" s="8" t="s">
        <v>1822</v>
      </c>
      <c r="E22" s="8" t="s">
        <v>393</v>
      </c>
      <c r="F22" s="8" t="s">
        <v>1823</v>
      </c>
      <c r="G22" s="8" t="s">
        <v>1817</v>
      </c>
    </row>
    <row r="23" customFormat="false" ht="23.25" hidden="false" customHeight="true" outlineLevel="0" collapsed="false">
      <c r="A23" s="8" t="s">
        <v>263</v>
      </c>
      <c r="B23" s="8" t="n">
        <v>4</v>
      </c>
      <c r="C23" s="8" t="s">
        <v>699</v>
      </c>
      <c r="D23" s="8" t="s">
        <v>1824</v>
      </c>
      <c r="E23" s="8" t="s">
        <v>1825</v>
      </c>
      <c r="F23" s="8" t="s">
        <v>1826</v>
      </c>
      <c r="G23" s="8" t="s">
        <v>1827</v>
      </c>
    </row>
    <row r="24" customFormat="false" ht="23.25" hidden="false" customHeight="true" outlineLevel="0" collapsed="false">
      <c r="A24" s="8" t="s">
        <v>263</v>
      </c>
      <c r="B24" s="8" t="n">
        <v>5</v>
      </c>
      <c r="C24" s="8" t="s">
        <v>680</v>
      </c>
      <c r="D24" s="8" t="s">
        <v>1828</v>
      </c>
      <c r="E24" s="8" t="s">
        <v>1800</v>
      </c>
      <c r="F24" s="8" t="s">
        <v>1829</v>
      </c>
      <c r="G24" s="8" t="s">
        <v>1830</v>
      </c>
    </row>
    <row r="25" customFormat="false" ht="23.25" hidden="false" customHeight="true" outlineLevel="0" collapsed="false">
      <c r="A25" s="8" t="s">
        <v>263</v>
      </c>
      <c r="B25" s="8" t="n">
        <v>6</v>
      </c>
      <c r="C25" s="8" t="s">
        <v>702</v>
      </c>
      <c r="D25" s="8" t="s">
        <v>1831</v>
      </c>
      <c r="E25" s="8" t="s">
        <v>1800</v>
      </c>
      <c r="F25" s="8" t="s">
        <v>1832</v>
      </c>
      <c r="G25" s="8" t="s">
        <v>1833</v>
      </c>
    </row>
    <row r="26" customFormat="false" ht="23.25" hidden="false" customHeight="true" outlineLevel="0" collapsed="false">
      <c r="A26" s="8" t="s">
        <v>263</v>
      </c>
      <c r="B26" s="8" t="n">
        <v>7</v>
      </c>
      <c r="C26" s="8" t="s">
        <v>709</v>
      </c>
      <c r="D26" s="8" t="s">
        <v>1834</v>
      </c>
      <c r="E26" s="8" t="s">
        <v>1835</v>
      </c>
      <c r="F26" s="8" t="s">
        <v>1836</v>
      </c>
      <c r="G26" s="8" t="s">
        <v>1833</v>
      </c>
    </row>
    <row r="27" customFormat="false" ht="34.5" hidden="false" customHeight="true" outlineLevel="0" collapsed="false">
      <c r="A27" s="8" t="s">
        <v>263</v>
      </c>
      <c r="B27" s="8" t="n">
        <v>8</v>
      </c>
      <c r="C27" s="8" t="s">
        <v>694</v>
      </c>
      <c r="D27" s="8" t="s">
        <v>1837</v>
      </c>
      <c r="E27" s="8" t="s">
        <v>778</v>
      </c>
      <c r="F27" s="8" t="s">
        <v>1838</v>
      </c>
      <c r="G27" s="8" t="s">
        <v>1839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60"/>
    <col collapsed="false" customWidth="true" hidden="false" outlineLevel="0" max="4" min="4" style="1" width="40"/>
    <col collapsed="false" customWidth="true" hidden="false" outlineLevel="0" max="5" min="5" style="1" width="60"/>
    <col collapsed="false" customWidth="true" hidden="false" outlineLevel="0" max="6" min="6" style="1" width="22"/>
  </cols>
  <sheetData>
    <row r="1" customFormat="false" ht="15" hidden="false" customHeight="true" outlineLevel="0" collapsed="false">
      <c r="A1" s="7" t="s">
        <v>1840</v>
      </c>
      <c r="B1" s="7" t="s">
        <v>1841</v>
      </c>
      <c r="C1" s="7" t="s">
        <v>1842</v>
      </c>
      <c r="D1" s="7" t="s">
        <v>1138</v>
      </c>
      <c r="E1" s="7" t="s">
        <v>1843</v>
      </c>
      <c r="F1" s="7" t="s">
        <v>241</v>
      </c>
    </row>
    <row r="2" customFormat="false" ht="34.5" hidden="false" customHeight="true" outlineLevel="0" collapsed="false">
      <c r="A2" s="8" t="s">
        <v>1844</v>
      </c>
      <c r="B2" s="8" t="s">
        <v>1845</v>
      </c>
      <c r="C2" s="8" t="s">
        <v>1846</v>
      </c>
      <c r="D2" s="8" t="s">
        <v>1847</v>
      </c>
      <c r="E2" s="8" t="s">
        <v>1848</v>
      </c>
      <c r="F2" s="8" t="s">
        <v>1849</v>
      </c>
    </row>
    <row r="3" customFormat="false" ht="23.25" hidden="false" customHeight="true" outlineLevel="0" collapsed="false">
      <c r="A3" s="8" t="s">
        <v>1850</v>
      </c>
      <c r="B3" s="8" t="s">
        <v>1851</v>
      </c>
      <c r="C3" s="8" t="s">
        <v>1852</v>
      </c>
      <c r="D3" s="8" t="s">
        <v>1853</v>
      </c>
      <c r="E3" s="8" t="s">
        <v>1854</v>
      </c>
      <c r="F3" s="8" t="s">
        <v>1849</v>
      </c>
    </row>
    <row r="4" customFormat="false" ht="23.25" hidden="false" customHeight="true" outlineLevel="0" collapsed="false">
      <c r="A4" s="8" t="s">
        <v>1855</v>
      </c>
      <c r="B4" s="8" t="s">
        <v>1856</v>
      </c>
      <c r="C4" s="8" t="s">
        <v>1857</v>
      </c>
      <c r="D4" s="8" t="s">
        <v>1858</v>
      </c>
      <c r="E4" s="8" t="s">
        <v>1859</v>
      </c>
      <c r="F4" s="8" t="s">
        <v>1849</v>
      </c>
    </row>
    <row r="5" customFormat="false" ht="23.25" hidden="false" customHeight="true" outlineLevel="0" collapsed="false">
      <c r="A5" s="8" t="s">
        <v>1860</v>
      </c>
      <c r="B5" s="8" t="s">
        <v>1861</v>
      </c>
      <c r="C5" s="8" t="s">
        <v>1862</v>
      </c>
      <c r="D5" s="8" t="s">
        <v>1863</v>
      </c>
      <c r="E5" s="8"/>
      <c r="F5" s="8" t="s">
        <v>1849</v>
      </c>
    </row>
    <row r="6" customFormat="false" ht="23.25" hidden="false" customHeight="true" outlineLevel="0" collapsed="false">
      <c r="A6" s="8" t="s">
        <v>348</v>
      </c>
      <c r="B6" s="8" t="s">
        <v>1864</v>
      </c>
      <c r="C6" s="8" t="s">
        <v>1865</v>
      </c>
      <c r="D6" s="8" t="s">
        <v>1866</v>
      </c>
      <c r="E6" s="8" t="s">
        <v>1867</v>
      </c>
      <c r="F6" s="8" t="s">
        <v>1868</v>
      </c>
    </row>
    <row r="7" customFormat="false" ht="23.25" hidden="false" customHeight="true" outlineLevel="0" collapsed="false">
      <c r="A7" s="8" t="s">
        <v>1869</v>
      </c>
      <c r="B7" s="8" t="s">
        <v>1870</v>
      </c>
      <c r="C7" s="8" t="s">
        <v>1871</v>
      </c>
      <c r="D7" s="8" t="s">
        <v>1872</v>
      </c>
      <c r="E7" s="8" t="s">
        <v>1873</v>
      </c>
      <c r="F7" s="8" t="s">
        <v>1874</v>
      </c>
    </row>
    <row r="8" customFormat="false" ht="23.25" hidden="false" customHeight="true" outlineLevel="0" collapsed="false">
      <c r="A8" s="8" t="s">
        <v>1875</v>
      </c>
      <c r="B8" s="8" t="s">
        <v>1876</v>
      </c>
      <c r="C8" s="8" t="s">
        <v>1877</v>
      </c>
      <c r="D8" s="8" t="s">
        <v>1878</v>
      </c>
      <c r="E8" s="8"/>
      <c r="F8" s="8" t="s">
        <v>1849</v>
      </c>
    </row>
    <row r="9" customFormat="false" ht="15" hidden="false" customHeight="true" outlineLevel="0" collapsed="false">
      <c r="A9" s="8" t="s">
        <v>1879</v>
      </c>
      <c r="B9" s="8" t="s">
        <v>1880</v>
      </c>
      <c r="C9" s="8" t="s">
        <v>1881</v>
      </c>
      <c r="D9" s="8" t="s">
        <v>1882</v>
      </c>
      <c r="E9" s="8" t="s">
        <v>1883</v>
      </c>
      <c r="F9" s="8" t="s">
        <v>1849</v>
      </c>
    </row>
    <row r="10" customFormat="false" ht="15" hidden="false" customHeight="true" outlineLevel="0" collapsed="false">
      <c r="A10" s="8" t="s">
        <v>1884</v>
      </c>
      <c r="B10" s="8" t="s">
        <v>1885</v>
      </c>
      <c r="C10" s="8" t="s">
        <v>1886</v>
      </c>
      <c r="D10" s="8" t="s">
        <v>1882</v>
      </c>
      <c r="E10" s="8" t="s">
        <v>1887</v>
      </c>
      <c r="F10" s="8" t="s">
        <v>1849</v>
      </c>
    </row>
    <row r="11" customFormat="false" ht="15" hidden="false" customHeight="true" outlineLevel="0" collapsed="false">
      <c r="A11" s="8" t="s">
        <v>1888</v>
      </c>
      <c r="B11" s="8" t="s">
        <v>1889</v>
      </c>
      <c r="C11" s="8" t="s">
        <v>1890</v>
      </c>
      <c r="D11" s="8" t="s">
        <v>1858</v>
      </c>
      <c r="E11" s="8"/>
      <c r="F11" s="8" t="s">
        <v>1849</v>
      </c>
    </row>
    <row r="12" customFormat="false" ht="23.25" hidden="false" customHeight="true" outlineLevel="0" collapsed="false">
      <c r="A12" s="8" t="s">
        <v>1891</v>
      </c>
      <c r="B12" s="8" t="s">
        <v>1892</v>
      </c>
      <c r="C12" s="8" t="s">
        <v>1893</v>
      </c>
      <c r="D12" s="8" t="s">
        <v>1894</v>
      </c>
      <c r="E12" s="8" t="s">
        <v>1895</v>
      </c>
      <c r="F12" s="8" t="s">
        <v>1849</v>
      </c>
    </row>
    <row r="13" customFormat="false" ht="23.25" hidden="false" customHeight="true" outlineLevel="0" collapsed="false">
      <c r="A13" s="8" t="s">
        <v>1896</v>
      </c>
      <c r="B13" s="8" t="s">
        <v>1897</v>
      </c>
      <c r="C13" s="8" t="s">
        <v>1898</v>
      </c>
      <c r="D13" s="8" t="s">
        <v>1899</v>
      </c>
      <c r="E13" s="8" t="s">
        <v>1900</v>
      </c>
      <c r="F13" s="8" t="s">
        <v>1901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90"/>
    <col collapsed="false" customWidth="true" hidden="false" outlineLevel="0" max="4" min="4" style="1" width="30"/>
  </cols>
  <sheetData>
    <row r="1" customFormat="false" ht="15" hidden="false" customHeight="true" outlineLevel="0" collapsed="false">
      <c r="A1" s="7" t="s">
        <v>1902</v>
      </c>
      <c r="B1" s="7" t="s">
        <v>1489</v>
      </c>
      <c r="C1" s="7" t="s">
        <v>1903</v>
      </c>
      <c r="D1" s="7" t="s">
        <v>241</v>
      </c>
    </row>
    <row r="2" customFormat="false" ht="45.75" hidden="false" customHeight="true" outlineLevel="0" collapsed="false">
      <c r="A2" s="8" t="s">
        <v>1904</v>
      </c>
      <c r="B2" s="8" t="s">
        <v>1905</v>
      </c>
      <c r="C2" s="8" t="s">
        <v>1906</v>
      </c>
      <c r="D2" s="8" t="s">
        <v>1907</v>
      </c>
    </row>
    <row r="3" customFormat="false" ht="23.25" hidden="false" customHeight="true" outlineLevel="0" collapsed="false">
      <c r="A3" s="8" t="s">
        <v>1908</v>
      </c>
      <c r="B3" s="8" t="s">
        <v>1909</v>
      </c>
      <c r="C3" s="8" t="s">
        <v>1910</v>
      </c>
      <c r="D3" s="8" t="s">
        <v>1907</v>
      </c>
    </row>
    <row r="4" customFormat="false" ht="45.75" hidden="false" customHeight="true" outlineLevel="0" collapsed="false">
      <c r="A4" s="8" t="s">
        <v>1911</v>
      </c>
      <c r="B4" s="8" t="s">
        <v>1912</v>
      </c>
      <c r="C4" s="8" t="s">
        <v>1913</v>
      </c>
      <c r="D4" s="8" t="s">
        <v>1907</v>
      </c>
    </row>
    <row r="5" customFormat="false" ht="23.25" hidden="false" customHeight="true" outlineLevel="0" collapsed="false">
      <c r="A5" s="8" t="s">
        <v>1914</v>
      </c>
      <c r="B5" s="8" t="s">
        <v>1915</v>
      </c>
      <c r="C5" s="8" t="s">
        <v>1916</v>
      </c>
      <c r="D5" s="8" t="s">
        <v>1917</v>
      </c>
    </row>
    <row r="6" customFormat="false" ht="23.25" hidden="false" customHeight="true" outlineLevel="0" collapsed="false">
      <c r="A6" s="8" t="s">
        <v>1918</v>
      </c>
      <c r="B6" s="8" t="s">
        <v>1919</v>
      </c>
      <c r="C6" s="8" t="s">
        <v>1920</v>
      </c>
      <c r="D6" s="8" t="s">
        <v>1917</v>
      </c>
    </row>
    <row r="7" customFormat="false" ht="23.25" hidden="false" customHeight="true" outlineLevel="0" collapsed="false">
      <c r="A7" s="8" t="s">
        <v>1921</v>
      </c>
      <c r="B7" s="8" t="s">
        <v>1915</v>
      </c>
      <c r="C7" s="8" t="s">
        <v>1922</v>
      </c>
      <c r="D7" s="8" t="s">
        <v>1923</v>
      </c>
    </row>
    <row r="8" customFormat="false" ht="34.5" hidden="false" customHeight="true" outlineLevel="0" collapsed="false">
      <c r="A8" s="8" t="s">
        <v>1924</v>
      </c>
      <c r="B8" s="8" t="s">
        <v>1925</v>
      </c>
      <c r="C8" s="8" t="s">
        <v>1926</v>
      </c>
      <c r="D8" s="8" t="s">
        <v>1917</v>
      </c>
    </row>
    <row r="9" customFormat="false" ht="23.25" hidden="false" customHeight="true" outlineLevel="0" collapsed="false">
      <c r="A9" s="8" t="s">
        <v>1927</v>
      </c>
      <c r="B9" s="8" t="s">
        <v>1928</v>
      </c>
      <c r="C9" s="8" t="s">
        <v>1929</v>
      </c>
      <c r="D9" s="8" t="s">
        <v>1930</v>
      </c>
    </row>
    <row r="10" customFormat="false" ht="31.5" hidden="false" customHeight="true" outlineLevel="0" collapsed="false">
      <c r="A10" s="8" t="s">
        <v>1931</v>
      </c>
      <c r="B10" s="8" t="s">
        <v>1932</v>
      </c>
      <c r="C10" s="8" t="s">
        <v>1933</v>
      </c>
      <c r="D10" s="8" t="s">
        <v>1934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18"/>
    <col collapsed="false" customWidth="true" hidden="false" outlineLevel="0" max="4" min="4" style="1" width="60"/>
    <col collapsed="false" customWidth="true" hidden="false" outlineLevel="0" max="5" min="5" style="1" width="16"/>
  </cols>
  <sheetData>
    <row r="1" customFormat="false" ht="15" hidden="false" customHeight="true" outlineLevel="0" collapsed="false">
      <c r="A1" s="7" t="s">
        <v>1935</v>
      </c>
      <c r="B1" s="7" t="s">
        <v>1936</v>
      </c>
      <c r="C1" s="7" t="s">
        <v>1937</v>
      </c>
      <c r="D1" s="7" t="s">
        <v>1938</v>
      </c>
      <c r="E1" s="7" t="s">
        <v>241</v>
      </c>
    </row>
    <row r="2" customFormat="false" ht="23.25" hidden="false" customHeight="true" outlineLevel="0" collapsed="false">
      <c r="A2" s="8" t="s">
        <v>1939</v>
      </c>
      <c r="B2" s="8" t="s">
        <v>1940</v>
      </c>
      <c r="C2" s="8" t="s">
        <v>1941</v>
      </c>
      <c r="D2" s="8" t="s">
        <v>1942</v>
      </c>
      <c r="E2" s="8" t="s">
        <v>1943</v>
      </c>
    </row>
    <row r="3" customFormat="false" ht="15" hidden="false" customHeight="true" outlineLevel="0" collapsed="false">
      <c r="A3" s="8" t="s">
        <v>1944</v>
      </c>
      <c r="B3" s="8" t="s">
        <v>1945</v>
      </c>
      <c r="C3" s="8" t="s">
        <v>1946</v>
      </c>
      <c r="D3" s="8" t="s">
        <v>1947</v>
      </c>
      <c r="E3" s="8" t="s">
        <v>1943</v>
      </c>
    </row>
    <row r="4" customFormat="false" ht="15" hidden="false" customHeight="true" outlineLevel="0" collapsed="false">
      <c r="A4" s="8" t="s">
        <v>1948</v>
      </c>
      <c r="B4" s="8" t="s">
        <v>1949</v>
      </c>
      <c r="C4" s="8" t="s">
        <v>1950</v>
      </c>
      <c r="D4" s="8" t="s">
        <v>1951</v>
      </c>
      <c r="E4" s="8" t="s">
        <v>1943</v>
      </c>
    </row>
    <row r="5" customFormat="false" ht="15" hidden="false" customHeight="true" outlineLevel="0" collapsed="false">
      <c r="A5" s="8" t="s">
        <v>1952</v>
      </c>
      <c r="B5" s="8" t="s">
        <v>1953</v>
      </c>
      <c r="C5" s="8" t="s">
        <v>1954</v>
      </c>
      <c r="D5" s="8" t="s">
        <v>1955</v>
      </c>
      <c r="E5" s="8" t="s">
        <v>1943</v>
      </c>
    </row>
    <row r="6" customFormat="false" ht="23.25" hidden="false" customHeight="true" outlineLevel="0" collapsed="false">
      <c r="A6" s="8" t="s">
        <v>1956</v>
      </c>
      <c r="B6" s="8" t="s">
        <v>1957</v>
      </c>
      <c r="C6" s="8" t="s">
        <v>1957</v>
      </c>
      <c r="D6" s="8" t="s">
        <v>1958</v>
      </c>
      <c r="E6" s="8" t="s">
        <v>1959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1" width="15"/>
    <col collapsed="false" customWidth="true" hidden="false" outlineLevel="0" max="5" min="4" style="1" width="16"/>
    <col collapsed="false" customWidth="true" hidden="false" outlineLevel="0" max="6" min="6" style="1" width="22"/>
    <col collapsed="false" customWidth="true" hidden="false" outlineLevel="0" max="7" min="7" style="1" width="45"/>
    <col collapsed="false" customWidth="true" hidden="false" outlineLevel="0" max="8" min="8" style="1" width="20"/>
  </cols>
  <sheetData>
    <row r="1" customFormat="false" ht="23.25" hidden="false" customHeight="true" outlineLevel="0" collapsed="false">
      <c r="A1" s="18" t="s">
        <v>1960</v>
      </c>
      <c r="B1" s="18" t="s">
        <v>265</v>
      </c>
      <c r="C1" s="18" t="s">
        <v>1961</v>
      </c>
      <c r="D1" s="18" t="s">
        <v>1962</v>
      </c>
      <c r="E1" s="18" t="s">
        <v>1963</v>
      </c>
      <c r="F1" s="18" t="s">
        <v>1964</v>
      </c>
      <c r="G1" s="18" t="s">
        <v>653</v>
      </c>
      <c r="H1" s="18" t="s">
        <v>241</v>
      </c>
    </row>
    <row r="2" customFormat="false" ht="23.25" hidden="false" customHeight="true" outlineLevel="0" collapsed="false">
      <c r="A2" s="10" t="s">
        <v>1965</v>
      </c>
      <c r="B2" s="10" t="s">
        <v>1966</v>
      </c>
      <c r="C2" s="10" t="n">
        <v>1.017</v>
      </c>
      <c r="D2" s="10" t="s">
        <v>1967</v>
      </c>
      <c r="E2" s="10" t="n">
        <v>1.019</v>
      </c>
      <c r="F2" s="10" t="s">
        <v>1968</v>
      </c>
      <c r="G2" s="10" t="s">
        <v>1969</v>
      </c>
      <c r="H2" s="10" t="s">
        <v>1970</v>
      </c>
    </row>
    <row r="3" customFormat="false" ht="15" hidden="false" customHeight="true" outlineLevel="0" collapsed="false">
      <c r="A3" s="10" t="s">
        <v>1971</v>
      </c>
      <c r="B3" s="10" t="s">
        <v>1966</v>
      </c>
      <c r="C3" s="10" t="n">
        <v>1.158</v>
      </c>
      <c r="D3" s="10" t="s">
        <v>1972</v>
      </c>
      <c r="E3" s="10" t="n">
        <v>1.92</v>
      </c>
      <c r="F3" s="10" t="s">
        <v>1973</v>
      </c>
      <c r="G3" s="10" t="s">
        <v>1974</v>
      </c>
      <c r="H3" s="10" t="s">
        <v>1970</v>
      </c>
    </row>
    <row r="4" customFormat="false" ht="23.25" hidden="false" customHeight="true" outlineLevel="0" collapsed="false">
      <c r="A4" s="10" t="s">
        <v>1975</v>
      </c>
      <c r="B4" s="10" t="s">
        <v>1976</v>
      </c>
      <c r="C4" s="10" t="n">
        <v>3.192</v>
      </c>
      <c r="D4" s="10" t="s">
        <v>1977</v>
      </c>
      <c r="E4" s="10" t="n">
        <v>5.475</v>
      </c>
      <c r="F4" s="10" t="s">
        <v>1978</v>
      </c>
      <c r="G4" s="10" t="s">
        <v>1979</v>
      </c>
      <c r="H4" s="10" t="s">
        <v>1970</v>
      </c>
    </row>
    <row r="5" customFormat="false" ht="23.25" hidden="false" customHeight="true" outlineLevel="0" collapsed="false">
      <c r="A5" s="10" t="s">
        <v>1980</v>
      </c>
      <c r="B5" s="10" t="s">
        <v>1976</v>
      </c>
      <c r="C5" s="10" t="n">
        <v>0.748</v>
      </c>
      <c r="D5" s="10" t="s">
        <v>1981</v>
      </c>
      <c r="E5" s="10" t="n">
        <v>1.425</v>
      </c>
      <c r="F5" s="10" t="s">
        <v>1982</v>
      </c>
      <c r="G5" s="10" t="s">
        <v>1983</v>
      </c>
      <c r="H5" s="10" t="s">
        <v>1970</v>
      </c>
    </row>
    <row r="6" customFormat="false" ht="15" hidden="false" customHeight="true" outlineLevel="0" collapsed="false">
      <c r="A6" s="10" t="s">
        <v>1984</v>
      </c>
      <c r="B6" s="10" t="s">
        <v>1976</v>
      </c>
      <c r="C6" s="10" t="n">
        <v>0.792</v>
      </c>
      <c r="D6" s="10" t="s">
        <v>1985</v>
      </c>
      <c r="E6" s="10"/>
      <c r="F6" s="10" t="s">
        <v>1986</v>
      </c>
      <c r="G6" s="10" t="s">
        <v>1987</v>
      </c>
      <c r="H6" s="10" t="s">
        <v>1970</v>
      </c>
    </row>
    <row r="7" customFormat="false" ht="15" hidden="false" customHeight="true" outlineLevel="0" collapsed="false">
      <c r="A7" s="10" t="s">
        <v>1988</v>
      </c>
      <c r="B7" s="10" t="s">
        <v>1989</v>
      </c>
      <c r="C7" s="10" t="n">
        <v>0.757</v>
      </c>
      <c r="D7" s="10" t="s">
        <v>1990</v>
      </c>
      <c r="E7" s="10"/>
      <c r="F7" s="10" t="s">
        <v>1986</v>
      </c>
      <c r="G7" s="10"/>
      <c r="H7" s="10" t="s">
        <v>1970</v>
      </c>
    </row>
    <row r="8" customFormat="false" ht="15" hidden="false" customHeight="true" outlineLevel="0" collapsed="false">
      <c r="A8" s="10" t="s">
        <v>1991</v>
      </c>
      <c r="B8" s="10" t="s">
        <v>1989</v>
      </c>
      <c r="C8" s="10" t="n">
        <v>1.092</v>
      </c>
      <c r="D8" s="10" t="s">
        <v>1992</v>
      </c>
      <c r="E8" s="10"/>
      <c r="F8" s="10" t="s">
        <v>1986</v>
      </c>
      <c r="G8" s="10" t="s">
        <v>1993</v>
      </c>
      <c r="H8" s="10" t="s">
        <v>1970</v>
      </c>
    </row>
    <row r="9" customFormat="false" ht="23.25" hidden="false" customHeight="true" outlineLevel="0" collapsed="false">
      <c r="A9" s="10" t="s">
        <v>1994</v>
      </c>
      <c r="B9" s="10" t="s">
        <v>1989</v>
      </c>
      <c r="C9" s="10" t="n">
        <v>1.475</v>
      </c>
      <c r="D9" s="10" t="s">
        <v>1995</v>
      </c>
      <c r="E9" s="10"/>
      <c r="F9" s="10" t="s">
        <v>1986</v>
      </c>
      <c r="G9" s="10" t="s">
        <v>1996</v>
      </c>
      <c r="H9" s="10" t="s">
        <v>1997</v>
      </c>
    </row>
    <row r="10" customFormat="false" ht="23.25" hidden="false" customHeight="true" outlineLevel="0" collapsed="false">
      <c r="A10" s="10" t="s">
        <v>1998</v>
      </c>
      <c r="B10" s="10" t="s">
        <v>1989</v>
      </c>
      <c r="C10" s="10" t="n">
        <v>1.399</v>
      </c>
      <c r="D10" s="10" t="s">
        <v>1999</v>
      </c>
      <c r="E10" s="10" t="n">
        <v>2.314</v>
      </c>
      <c r="F10" s="10" t="s">
        <v>2000</v>
      </c>
      <c r="G10" s="10" t="s">
        <v>2001</v>
      </c>
      <c r="H10" s="10" t="s">
        <v>1970</v>
      </c>
    </row>
    <row r="11" customFormat="false" ht="15" hidden="false" customHeight="true" outlineLevel="0" collapsed="false">
      <c r="A11" s="10" t="s">
        <v>2002</v>
      </c>
      <c r="B11" s="10" t="s">
        <v>2003</v>
      </c>
      <c r="C11" s="10" t="n">
        <v>1.282</v>
      </c>
      <c r="D11" s="10" t="s">
        <v>2004</v>
      </c>
      <c r="E11" s="10"/>
      <c r="F11" s="10" t="s">
        <v>1986</v>
      </c>
      <c r="G11" s="10" t="s">
        <v>2005</v>
      </c>
      <c r="H11" s="10" t="s">
        <v>1970</v>
      </c>
    </row>
    <row r="12" customFormat="false" ht="15" hidden="false" customHeight="true" outlineLevel="0" collapsed="false">
      <c r="A12" s="10" t="s">
        <v>2006</v>
      </c>
      <c r="B12" s="10" t="s">
        <v>2003</v>
      </c>
      <c r="C12" s="10"/>
      <c r="D12" s="10" t="s">
        <v>1986</v>
      </c>
      <c r="E12" s="10" t="n">
        <v>1.857</v>
      </c>
      <c r="F12" s="10" t="s">
        <v>2007</v>
      </c>
      <c r="G12" s="10" t="s">
        <v>2008</v>
      </c>
      <c r="H12" s="10" t="s">
        <v>1970</v>
      </c>
    </row>
    <row r="13" customFormat="false" ht="23.25" hidden="false" customHeight="true" outlineLevel="0" collapsed="false">
      <c r="A13" s="10" t="s">
        <v>2009</v>
      </c>
      <c r="B13" s="10" t="s">
        <v>2010</v>
      </c>
      <c r="C13" s="10" t="n">
        <v>0.861</v>
      </c>
      <c r="D13" s="10" t="s">
        <v>2011</v>
      </c>
      <c r="E13" s="10" t="n">
        <v>0.522</v>
      </c>
      <c r="F13" s="10" t="s">
        <v>2012</v>
      </c>
      <c r="G13" s="10" t="s">
        <v>2013</v>
      </c>
      <c r="H13" s="10" t="s">
        <v>1970</v>
      </c>
    </row>
    <row r="14" customFormat="false" ht="15" hidden="false" customHeight="true" outlineLevel="0" collapsed="false">
      <c r="A14" s="10" t="s">
        <v>2014</v>
      </c>
      <c r="B14" s="10" t="s">
        <v>2010</v>
      </c>
      <c r="C14" s="10" t="n">
        <v>1.428</v>
      </c>
      <c r="D14" s="10" t="s">
        <v>2015</v>
      </c>
      <c r="E14" s="10" t="n">
        <v>2.294</v>
      </c>
      <c r="F14" s="10" t="s">
        <v>2016</v>
      </c>
      <c r="G14" s="10"/>
      <c r="H14" s="10" t="s">
        <v>1970</v>
      </c>
    </row>
    <row r="15" customFormat="false" ht="23.25" hidden="false" customHeight="true" outlineLevel="0" collapsed="false">
      <c r="A15" s="10" t="s">
        <v>2017</v>
      </c>
      <c r="B15" s="10" t="s">
        <v>2010</v>
      </c>
      <c r="C15" s="10" t="n">
        <v>2.432</v>
      </c>
      <c r="D15" s="10" t="s">
        <v>2018</v>
      </c>
      <c r="E15" s="10" t="n">
        <v>0.884</v>
      </c>
      <c r="F15" s="10" t="s">
        <v>2019</v>
      </c>
      <c r="G15" s="10" t="s">
        <v>2020</v>
      </c>
      <c r="H15" s="10" t="s">
        <v>1970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2026-09-20T12:37:42Z</dcterms:created>
  <dc:creator>openpyxl</dc:creator>
  <dc:description/>
  <dc:language>en-US</dc:language>
  <cp:lastModifiedBy/>
  <dcterms:modified xsi:type="dcterms:W3CDTF">2026-09-25T18:28:26Z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